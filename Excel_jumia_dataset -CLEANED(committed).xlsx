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8.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9.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10.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hmed\Documents\GitHub\JUMIA-DATA\"/>
    </mc:Choice>
  </mc:AlternateContent>
  <xr:revisionPtr revIDLastSave="0" documentId="13_ncr:1_{EF2EF6CE-8F04-4F6C-ADDA-18884DF038E5}" xr6:coauthVersionLast="47" xr6:coauthVersionMax="47" xr10:uidLastSave="{00000000-0000-0000-0000-000000000000}"/>
  <bookViews>
    <workbookView xWindow="-110" yWindow="-110" windowWidth="19420" windowHeight="10420" firstSheet="8" activeTab="10" xr2:uid="{2D74EB56-4582-4F0D-BB92-CD4FA1141519}"/>
  </bookViews>
  <sheets>
    <sheet name="reviews as per % discouint" sheetId="3" r:id="rId1"/>
    <sheet name="review per product rating" sheetId="4" r:id="rId2"/>
    <sheet name="products by ratings category" sheetId="22" r:id="rId3"/>
    <sheet name="product by discount category" sheetId="24" r:id="rId4"/>
    <sheet name="discounts vs avg ratings" sheetId="32" r:id="rId5"/>
    <sheet name="discounts vs Review numbers" sheetId="33" r:id="rId6"/>
    <sheet name="Excel_jumia_dataset" sheetId="1" r:id="rId7"/>
    <sheet name="top 5 lowest rated products" sheetId="30" r:id="rId8"/>
    <sheet name="top 5 highest rated products" sheetId="31" r:id="rId9"/>
    <sheet name="top 5s" sheetId="29" r:id="rId10"/>
    <sheet name="Dashboard" sheetId="6" r:id="rId11"/>
    <sheet name="highest ratings(Top 10)" sheetId="16" r:id="rId12"/>
    <sheet name="highest reviews(Top 10)" sheetId="18" r:id="rId13"/>
    <sheet name="highest discounts(TOP 10)" sheetId="19" r:id="rId14"/>
  </sheets>
  <definedNames>
    <definedName name="_xlnm._FilterDatabase" localSheetId="6" hidden="1">Excel_jumia_dataset!$A$1:$H$114</definedName>
    <definedName name="Slicer_discount">#N/A</definedName>
    <definedName name="Slicer_Discount2">#N/A</definedName>
    <definedName name="Slicer_Discount21">#N/A</definedName>
    <definedName name="Slicer_discounts_category">#N/A</definedName>
    <definedName name="Slicer_discounts_category1">#N/A</definedName>
    <definedName name="Slicer_Product">#N/A</definedName>
    <definedName name="Slicer_product_category_1">#N/A</definedName>
    <definedName name="Slicer_product_category_2">#N/A</definedName>
    <definedName name="Slicer_Product1">#N/A</definedName>
    <definedName name="Slicer_Product2">#N/A</definedName>
    <definedName name="Slicer_Product3">#N/A</definedName>
    <definedName name="Slicer_Ratingd">#N/A</definedName>
    <definedName name="Slicer_Ratingd1">#N/A</definedName>
    <definedName name="Slicer_Ratingd2">#N/A</definedName>
    <definedName name="Slicer_Review">#N/A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18" i="1" l="1"/>
  <c r="I15" i="29"/>
  <c r="H15" i="29"/>
  <c r="D15" i="29"/>
  <c r="I14" i="29"/>
  <c r="H14" i="29"/>
  <c r="D14" i="29"/>
  <c r="I13" i="29"/>
  <c r="H13" i="29"/>
  <c r="D13" i="29"/>
  <c r="I12" i="29"/>
  <c r="H12" i="29"/>
  <c r="D12" i="29"/>
  <c r="I11" i="29"/>
  <c r="H11" i="29"/>
  <c r="D11" i="29"/>
  <c r="I7" i="29"/>
  <c r="H7" i="29"/>
  <c r="D7" i="29"/>
  <c r="I6" i="29"/>
  <c r="H6" i="29"/>
  <c r="D6" i="29"/>
  <c r="I5" i="29"/>
  <c r="H5" i="29"/>
  <c r="D5" i="29"/>
  <c r="I4" i="29"/>
  <c r="H4" i="29"/>
  <c r="D4" i="29"/>
  <c r="I3" i="29"/>
  <c r="H3" i="29"/>
  <c r="D3" i="29"/>
  <c r="G118" i="1"/>
  <c r="F118" i="1"/>
  <c r="F117" i="1" s="1"/>
  <c r="E118" i="1"/>
  <c r="B118" i="1"/>
  <c r="B117" i="1" s="1"/>
  <c r="I115"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2" i="1"/>
  <c r="H23" i="1"/>
  <c r="H32" i="1"/>
  <c r="H17" i="1"/>
  <c r="H12" i="1"/>
  <c r="H10" i="1"/>
  <c r="H37" i="1"/>
  <c r="H18" i="1"/>
  <c r="H34" i="1"/>
  <c r="H9" i="1"/>
  <c r="H38" i="1"/>
  <c r="H33" i="1"/>
  <c r="H14" i="1"/>
  <c r="H11" i="1"/>
  <c r="H24" i="1"/>
  <c r="H30" i="1"/>
  <c r="H6" i="1"/>
  <c r="H8" i="1"/>
  <c r="H2" i="1"/>
  <c r="H19" i="1"/>
  <c r="H16" i="1"/>
  <c r="H41" i="1"/>
  <c r="H61" i="1"/>
  <c r="H35" i="1"/>
  <c r="H25" i="1"/>
  <c r="H26" i="1"/>
  <c r="H20" i="1"/>
  <c r="H40" i="1"/>
  <c r="H39" i="1"/>
  <c r="H31" i="1"/>
  <c r="H59" i="1"/>
  <c r="H29" i="1"/>
  <c r="H15" i="1"/>
  <c r="H27" i="1"/>
  <c r="H13" i="1"/>
  <c r="H22" i="1"/>
  <c r="H3" i="1"/>
  <c r="H7" i="1"/>
  <c r="H28" i="1"/>
  <c r="H21" i="1"/>
  <c r="H60" i="1"/>
  <c r="H86" i="1"/>
  <c r="H95" i="1"/>
  <c r="H87" i="1"/>
  <c r="H88" i="1"/>
  <c r="H112" i="1"/>
  <c r="H65" i="1"/>
  <c r="H79" i="1"/>
  <c r="H75" i="1"/>
  <c r="H73" i="1"/>
  <c r="H92" i="1"/>
  <c r="H93" i="1"/>
  <c r="H111" i="1"/>
  <c r="H106" i="1"/>
  <c r="H110" i="1"/>
  <c r="H81" i="1"/>
  <c r="H90" i="1"/>
  <c r="H76" i="1"/>
  <c r="H72" i="1"/>
  <c r="H64" i="1"/>
  <c r="H84" i="1"/>
  <c r="H51" i="1"/>
  <c r="H45" i="1"/>
  <c r="H56" i="1"/>
  <c r="H48" i="1"/>
  <c r="H49" i="1"/>
  <c r="H47" i="1"/>
  <c r="H55" i="1"/>
  <c r="H52" i="1"/>
  <c r="H42" i="1"/>
  <c r="H50" i="1"/>
  <c r="H44" i="1"/>
  <c r="H53" i="1"/>
  <c r="H46" i="1"/>
  <c r="H54" i="1"/>
  <c r="H57" i="1"/>
  <c r="H74" i="1"/>
  <c r="H82" i="1"/>
  <c r="H107" i="1"/>
  <c r="H99" i="1"/>
  <c r="H43" i="1"/>
  <c r="H5" i="1"/>
  <c r="H68" i="1"/>
  <c r="H114" i="1"/>
  <c r="H36" i="1"/>
  <c r="H89" i="1"/>
  <c r="H100" i="1"/>
  <c r="H97" i="1"/>
  <c r="H94" i="1"/>
  <c r="H104" i="1"/>
  <c r="H77" i="1"/>
  <c r="H98" i="1"/>
  <c r="H85" i="1"/>
  <c r="H67" i="1"/>
  <c r="H62" i="1"/>
  <c r="H105" i="1"/>
  <c r="H69" i="1"/>
  <c r="H70" i="1"/>
  <c r="H63" i="1"/>
  <c r="H103" i="1"/>
  <c r="H113" i="1"/>
  <c r="H96" i="1"/>
  <c r="H101" i="1"/>
  <c r="H83" i="1"/>
  <c r="H71" i="1"/>
  <c r="H4" i="1"/>
  <c r="H66" i="1"/>
  <c r="H116" i="1"/>
  <c r="H108" i="1"/>
  <c r="H80" i="1"/>
  <c r="H78" i="1"/>
  <c r="H109" i="1"/>
  <c r="H115" i="1"/>
  <c r="H91" i="1"/>
  <c r="H58" i="1"/>
  <c r="H102" i="1"/>
  <c r="D32" i="1"/>
  <c r="D17" i="1"/>
  <c r="D12" i="1"/>
  <c r="D10" i="1"/>
  <c r="D37" i="1"/>
  <c r="D18" i="1"/>
  <c r="D34" i="1"/>
  <c r="D9" i="1"/>
  <c r="D38" i="1"/>
  <c r="D33" i="1"/>
  <c r="D14" i="1"/>
  <c r="D11" i="1"/>
  <c r="D24" i="1"/>
  <c r="D30" i="1"/>
  <c r="D6" i="1"/>
  <c r="D8" i="1"/>
  <c r="D2" i="1"/>
  <c r="D19" i="1"/>
  <c r="D16" i="1"/>
  <c r="D41" i="1"/>
  <c r="D61" i="1"/>
  <c r="D35" i="1"/>
  <c r="D25" i="1"/>
  <c r="D26" i="1"/>
  <c r="D20" i="1"/>
  <c r="D40" i="1"/>
  <c r="D39" i="1"/>
  <c r="D31" i="1"/>
  <c r="D59" i="1"/>
  <c r="D29" i="1"/>
  <c r="D15" i="1"/>
  <c r="D27" i="1"/>
  <c r="D13" i="1"/>
  <c r="D22" i="1"/>
  <c r="D3" i="1"/>
  <c r="D7" i="1"/>
  <c r="D28" i="1"/>
  <c r="D21" i="1"/>
  <c r="D60" i="1"/>
  <c r="D86" i="1"/>
  <c r="D95" i="1"/>
  <c r="D87" i="1"/>
  <c r="D88" i="1"/>
  <c r="D112" i="1"/>
  <c r="D65" i="1"/>
  <c r="D79" i="1"/>
  <c r="D75" i="1"/>
  <c r="D73" i="1"/>
  <c r="D92" i="1"/>
  <c r="D93" i="1"/>
  <c r="D111" i="1"/>
  <c r="D106" i="1"/>
  <c r="D110" i="1"/>
  <c r="D81" i="1"/>
  <c r="D90" i="1"/>
  <c r="D76" i="1"/>
  <c r="D72" i="1"/>
  <c r="D64" i="1"/>
  <c r="D84" i="1"/>
  <c r="D51" i="1"/>
  <c r="D45" i="1"/>
  <c r="D56" i="1"/>
  <c r="D48" i="1"/>
  <c r="D49" i="1"/>
  <c r="D47" i="1"/>
  <c r="D55" i="1"/>
  <c r="D52" i="1"/>
  <c r="D42" i="1"/>
  <c r="D50" i="1"/>
  <c r="D44" i="1"/>
  <c r="D53" i="1"/>
  <c r="D46" i="1"/>
  <c r="D54" i="1"/>
  <c r="D57" i="1"/>
  <c r="D74" i="1"/>
  <c r="D82" i="1"/>
  <c r="D107" i="1"/>
  <c r="D99" i="1"/>
  <c r="D43" i="1"/>
  <c r="D5" i="1"/>
  <c r="D68" i="1"/>
  <c r="D114" i="1"/>
  <c r="D36" i="1"/>
  <c r="D89" i="1"/>
  <c r="D100" i="1"/>
  <c r="D97" i="1"/>
  <c r="D94" i="1"/>
  <c r="D104" i="1"/>
  <c r="D77" i="1"/>
  <c r="D98" i="1"/>
  <c r="D85" i="1"/>
  <c r="D67" i="1"/>
  <c r="D62" i="1"/>
  <c r="D105" i="1"/>
  <c r="D69" i="1"/>
  <c r="D70" i="1"/>
  <c r="D63" i="1"/>
  <c r="D103" i="1"/>
  <c r="D113" i="1"/>
  <c r="D96" i="1"/>
  <c r="D101" i="1"/>
  <c r="D83" i="1"/>
  <c r="D71" i="1"/>
  <c r="D4" i="1"/>
  <c r="D66" i="1"/>
  <c r="D116" i="1"/>
  <c r="D108" i="1"/>
  <c r="D80" i="1"/>
  <c r="D78" i="1"/>
  <c r="D109" i="1"/>
  <c r="D115" i="1"/>
  <c r="D91" i="1"/>
  <c r="D58" i="1"/>
  <c r="D102" i="1"/>
  <c r="D23" i="1"/>
  <c r="D118" i="1" l="1"/>
</calcChain>
</file>

<file path=xl/sharedStrings.xml><?xml version="1.0" encoding="utf-8"?>
<sst xmlns="http://schemas.openxmlformats.org/spreadsheetml/2006/main" count="239" uniqueCount="134">
  <si>
    <t>Product</t>
  </si>
  <si>
    <t>Current price</t>
  </si>
  <si>
    <t>old price</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</si>
  <si>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</si>
  <si>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</si>
  <si>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</si>
  <si>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</si>
  <si>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</si>
  <si>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</si>
  <si>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</si>
  <si>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</si>
  <si>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</si>
  <si>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</si>
  <si>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</si>
  <si>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</si>
  <si>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</si>
  <si>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</si>
  <si>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</si>
  <si>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</si>
  <si>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</si>
  <si>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</si>
  <si>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</si>
  <si>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</si>
  <si>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</si>
  <si>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</si>
  <si>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</si>
  <si>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</si>
  <si>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</si>
  <si>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</si>
  <si>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</si>
  <si>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</si>
  <si>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</si>
  <si>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</si>
  <si>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</si>
  <si>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</si>
  <si>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</si>
  <si>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</si>
  <si>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</si>
  <si>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</si>
  <si>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</si>
  <si>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</si>
  <si>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</si>
  <si>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</si>
  <si>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</si>
  <si>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</si>
  <si>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</si>
  <si>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</si>
  <si>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</si>
  <si>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</si>
  <si>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</si>
  <si>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</si>
  <si>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</si>
  <si>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</si>
  <si>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</si>
  <si>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</si>
  <si>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</si>
  <si>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</si>
  <si>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</si>
  <si>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</si>
  <si>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</si>
  <si>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</si>
  <si>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</si>
  <si>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</si>
  <si>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</si>
  <si>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</si>
  <si>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</si>
  <si>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</si>
  <si>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</si>
  <si>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</si>
  <si>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</si>
  <si>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</si>
  <si>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</si>
  <si>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</si>
  <si>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</si>
  <si>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</si>
  <si>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</si>
  <si>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</si>
  <si>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</si>
  <si>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</si>
  <si>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</si>
  <si>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</si>
  <si>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</si>
  <si>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</si>
  <si>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</si>
  <si>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</si>
  <si>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</si>
  <si>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</si>
  <si>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</si>
  <si>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</si>
  <si>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</si>
  <si>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</si>
  <si>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</si>
  <si>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</si>
  <si>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</si>
  <si>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</si>
  <si>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</si>
  <si>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</si>
  <si>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</si>
  <si>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</si>
  <si>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</si>
  <si>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</si>
  <si>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</si>
  <si>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</si>
  <si>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</si>
  <si>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</si>
  <si>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</si>
  <si>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</si>
  <si>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</si>
  <si>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</si>
  <si>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</si>
  <si>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</si>
  <si>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</si>
  <si>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</si>
  <si>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</si>
  <si>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discount</t>
  </si>
  <si>
    <t>Row Labels</t>
  </si>
  <si>
    <t>Grand Total</t>
  </si>
  <si>
    <t>Sum of Review</t>
  </si>
  <si>
    <t>Sum of discount</t>
  </si>
  <si>
    <t>Sum of Ratingd</t>
  </si>
  <si>
    <t>Discount%</t>
  </si>
  <si>
    <t>Count of product category 1</t>
  </si>
  <si>
    <t>average</t>
  </si>
  <si>
    <t>excellent</t>
  </si>
  <si>
    <t>poor</t>
  </si>
  <si>
    <t xml:space="preserve">ratings category </t>
  </si>
  <si>
    <t>discounts category</t>
  </si>
  <si>
    <t>Count of Product</t>
  </si>
  <si>
    <t>high discount</t>
  </si>
  <si>
    <t>lowdiscount</t>
  </si>
  <si>
    <t>medium discount</t>
  </si>
  <si>
    <t>lowest ratings</t>
  </si>
  <si>
    <t>highest ratings</t>
  </si>
  <si>
    <t>Average of Ratingd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</si>
</sst>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0" fontId="16" fillId="0" borderId="0" xfId="0" applyFont="1"/>
    <xf numFmtId="2" fontId="16" fillId="0" borderId="0" xfId="0" applyNumberFormat="1" applyFont="1"/>
    <xf numFmtId="2" fontId="0" fillId="0" borderId="0" xfId="0" applyNumberForma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xf numFmtId="9" fontId="16" fillId="0" borderId="0" xfId="0" applyNumberFormat="1" applyFont="1"/>
    <xf numFmtId="0" fontId="0" fillId="0" borderId="0" xfId="0" pivotButton="1"/>
    <xf numFmtId="9" fontId="0" fillId="0" borderId="0" xfId="0" applyNumberFormat="1" applyAlignment="1">
      <alignment horizontal="left"/>
    </xf>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6.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-CLEANED.xlsx]reviews as per % discouint!PivotTable2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as per discount %tage </a:t>
            </a:r>
          </a:p>
        </c:rich>
      </c:tx>
      <c:layout>
        <c:manualLayout>
          <c:xMode val="edge"/>
          <c:yMode val="edge"/>
          <c:x val="0.21813673055019067"/>
          <c:y val="9.9362579677540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17530827514474E-2"/>
          <c:y val="0.23211390242886307"/>
          <c:w val="0.87569454761551035"/>
          <c:h val="0.52689247177436149"/>
        </c:manualLayout>
      </c:layout>
      <c:barChart>
        <c:barDir val="col"/>
        <c:grouping val="clustered"/>
        <c:varyColors val="0"/>
        <c:ser>
          <c:idx val="0"/>
          <c:order val="0"/>
          <c:tx>
            <c:strRef>
              <c:f>'reviews as per % discouint'!$B$3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'reviews as per % discouint'!$A$4:$A$51</c:f>
              <c:strCache>
                <c:ptCount val="47"/>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37%</c:v>
                </c:pt>
                <c:pt idx="28">
                  <c:v>38%</c:v>
                </c:pt>
                <c:pt idx="29">
                  <c:v>39%</c:v>
                </c:pt>
                <c:pt idx="30">
                  <c:v>40%</c:v>
                </c:pt>
                <c:pt idx="31">
                  <c:v>41%</c:v>
                </c:pt>
                <c:pt idx="32">
                  <c:v>42%</c:v>
                </c:pt>
                <c:pt idx="33">
                  <c:v>43%</c:v>
                </c:pt>
                <c:pt idx="34">
                  <c:v>45%</c:v>
                </c:pt>
                <c:pt idx="35">
                  <c:v>46%</c:v>
                </c:pt>
                <c:pt idx="36">
                  <c:v>47%</c:v>
                </c:pt>
                <c:pt idx="37">
                  <c:v>48%</c:v>
                </c:pt>
                <c:pt idx="38">
                  <c:v>49%</c:v>
                </c:pt>
                <c:pt idx="39">
                  <c:v>50%</c:v>
                </c:pt>
                <c:pt idx="40">
                  <c:v>51%</c:v>
                </c:pt>
                <c:pt idx="41">
                  <c:v>52%</c:v>
                </c:pt>
                <c:pt idx="42">
                  <c:v>53%</c:v>
                </c:pt>
                <c:pt idx="43">
                  <c:v>54%</c:v>
                </c:pt>
                <c:pt idx="44">
                  <c:v>55%</c:v>
                </c:pt>
                <c:pt idx="45">
                  <c:v>61%</c:v>
                </c:pt>
                <c:pt idx="46">
                  <c:v>64%</c:v>
                </c:pt>
              </c:strCache>
            </c:strRef>
          </c:cat>
          <c:val>
            <c:numRef>
              <c:f>'reviews as per % discouint'!$B$4:$B$51</c:f>
              <c:numCache>
                <c:formatCode>General</c:formatCode>
                <c:ptCount val="47"/>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numCache>
            </c:numRef>
          </c:val>
          <c:extLst>
            <c:ext xmlns:c16="http://schemas.microsoft.com/office/drawing/2014/chart" uri="{C3380CC4-5D6E-409C-BE32-E72D297353CC}">
              <c16:uniqueId val="{00000000-44D6-4927-A739-932A3666360F}"/>
            </c:ext>
          </c:extLst>
        </c:ser>
        <c:dLbls>
          <c:showLegendKey val="0"/>
          <c:showVal val="0"/>
          <c:showCatName val="0"/>
          <c:showSerName val="0"/>
          <c:showPercent val="0"/>
          <c:showBubbleSize val="0"/>
        </c:dLbls>
        <c:gapWidth val="219"/>
        <c:overlap val="-27"/>
        <c:axId val="575832616"/>
        <c:axId val="575830096"/>
      </c:barChart>
      <c:catAx>
        <c:axId val="57583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0096"/>
        <c:crosses val="autoZero"/>
        <c:auto val="1"/>
        <c:lblAlgn val="ctr"/>
        <c:lblOffset val="100"/>
        <c:noMultiLvlLbl val="0"/>
      </c:catAx>
      <c:valAx>
        <c:axId val="5758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2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-CLEANED.xlsx]reviews as per % discouint!PivotTable2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a:t>
            </a:r>
            <a:r>
              <a:rPr lang="en-US" baseline="0"/>
              <a:t> per discount %tage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as per % discouint'!$B$3</c:f>
              <c:strCache>
                <c:ptCount val="1"/>
                <c:pt idx="0">
                  <c:v>Total</c:v>
                </c:pt>
              </c:strCache>
            </c:strRef>
          </c:tx>
          <c:spPr>
            <a:ln w="28575" cap="rnd">
              <a:solidFill>
                <a:schemeClr val="accent1"/>
              </a:solidFill>
              <a:round/>
            </a:ln>
            <a:effectLst/>
          </c:spPr>
          <c:marker>
            <c:symbol val="none"/>
          </c:marker>
          <c:cat>
            <c:strRef>
              <c:f>'reviews as per % discouint'!$A$4:$A$51</c:f>
              <c:strCache>
                <c:ptCount val="47"/>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37%</c:v>
                </c:pt>
                <c:pt idx="28">
                  <c:v>38%</c:v>
                </c:pt>
                <c:pt idx="29">
                  <c:v>39%</c:v>
                </c:pt>
                <c:pt idx="30">
                  <c:v>40%</c:v>
                </c:pt>
                <c:pt idx="31">
                  <c:v>41%</c:v>
                </c:pt>
                <c:pt idx="32">
                  <c:v>42%</c:v>
                </c:pt>
                <c:pt idx="33">
                  <c:v>43%</c:v>
                </c:pt>
                <c:pt idx="34">
                  <c:v>45%</c:v>
                </c:pt>
                <c:pt idx="35">
                  <c:v>46%</c:v>
                </c:pt>
                <c:pt idx="36">
                  <c:v>47%</c:v>
                </c:pt>
                <c:pt idx="37">
                  <c:v>48%</c:v>
                </c:pt>
                <c:pt idx="38">
                  <c:v>49%</c:v>
                </c:pt>
                <c:pt idx="39">
                  <c:v>50%</c:v>
                </c:pt>
                <c:pt idx="40">
                  <c:v>51%</c:v>
                </c:pt>
                <c:pt idx="41">
                  <c:v>52%</c:v>
                </c:pt>
                <c:pt idx="42">
                  <c:v>53%</c:v>
                </c:pt>
                <c:pt idx="43">
                  <c:v>54%</c:v>
                </c:pt>
                <c:pt idx="44">
                  <c:v>55%</c:v>
                </c:pt>
                <c:pt idx="45">
                  <c:v>61%</c:v>
                </c:pt>
                <c:pt idx="46">
                  <c:v>64%</c:v>
                </c:pt>
              </c:strCache>
            </c:strRef>
          </c:cat>
          <c:val>
            <c:numRef>
              <c:f>'reviews as per % discouint'!$B$4:$B$51</c:f>
              <c:numCache>
                <c:formatCode>General</c:formatCode>
                <c:ptCount val="47"/>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numCache>
            </c:numRef>
          </c:val>
          <c:smooth val="0"/>
          <c:extLst>
            <c:ext xmlns:c16="http://schemas.microsoft.com/office/drawing/2014/chart" uri="{C3380CC4-5D6E-409C-BE32-E72D297353CC}">
              <c16:uniqueId val="{00000000-09D3-443E-9A5F-4EA92E2493D4}"/>
            </c:ext>
          </c:extLst>
        </c:ser>
        <c:dLbls>
          <c:showLegendKey val="0"/>
          <c:showVal val="0"/>
          <c:showCatName val="0"/>
          <c:showSerName val="0"/>
          <c:showPercent val="0"/>
          <c:showBubbleSize val="0"/>
        </c:dLbls>
        <c:smooth val="0"/>
        <c:axId val="569149096"/>
        <c:axId val="569149456"/>
      </c:lineChart>
      <c:catAx>
        <c:axId val="569149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49456"/>
        <c:crosses val="autoZero"/>
        <c:auto val="1"/>
        <c:lblAlgn val="ctr"/>
        <c:lblOffset val="100"/>
        <c:noMultiLvlLbl val="0"/>
      </c:catAx>
      <c:valAx>
        <c:axId val="56914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49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 per product rating!PivotTable3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Reviews per product 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26791447944006996"/>
          <c:w val="0.77378937007874016"/>
          <c:h val="0.32475794692330123"/>
        </c:manualLayout>
      </c:layout>
      <c:barChart>
        <c:barDir val="col"/>
        <c:grouping val="clustered"/>
        <c:varyColors val="0"/>
        <c:ser>
          <c:idx val="0"/>
          <c:order val="0"/>
          <c:tx>
            <c:strRef>
              <c:f>'review per product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'review per product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'review per product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7E26-4209-A780-A9F25403E314}"/>
            </c:ext>
          </c:extLst>
        </c:ser>
        <c:dLbls>
          <c:dLblPos val="outEnd"/>
          <c:showLegendKey val="0"/>
          <c:showVal val="1"/>
          <c:showCatName val="0"/>
          <c:showSerName val="0"/>
          <c:showPercent val="0"/>
          <c:showBubbleSize val="0"/>
        </c:dLbls>
        <c:gapWidth val="100"/>
        <c:overlap val="-24"/>
        <c:axId val="409733840"/>
        <c:axId val="409734200"/>
      </c:barChart>
      <c:catAx>
        <c:axId val="40973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4200"/>
        <c:crosses val="autoZero"/>
        <c:auto val="1"/>
        <c:lblAlgn val="ctr"/>
        <c:lblOffset val="100"/>
        <c:noMultiLvlLbl val="0"/>
      </c:catAx>
      <c:valAx>
        <c:axId val="409734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 per product rating!PivotTable3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a:t>
            </a:r>
            <a:r>
              <a:rPr lang="en-US" baseline="0"/>
              <a:t> per product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 per product rating'!$B$3</c:f>
              <c:strCache>
                <c:ptCount val="1"/>
                <c:pt idx="0">
                  <c:v>Total</c:v>
                </c:pt>
              </c:strCache>
            </c:strRef>
          </c:tx>
          <c:spPr>
            <a:ln w="28575" cap="rnd">
              <a:solidFill>
                <a:schemeClr val="accent1"/>
              </a:solidFill>
              <a:round/>
            </a:ln>
            <a:effectLst/>
          </c:spPr>
          <c:marker>
            <c:symbol val="none"/>
          </c:marker>
          <c:cat>
            <c:strRef>
              <c:f>'review per product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'review per product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extLst>
            <c:ext xmlns:c16="http://schemas.microsoft.com/office/drawing/2014/chart" uri="{C3380CC4-5D6E-409C-BE32-E72D297353CC}">
              <c16:uniqueId val="{00000000-D692-4690-A33E-51352C69010B}"/>
            </c:ext>
          </c:extLst>
        </c:ser>
        <c:dLbls>
          <c:showLegendKey val="0"/>
          <c:showVal val="0"/>
          <c:showCatName val="0"/>
          <c:showSerName val="0"/>
          <c:showPercent val="0"/>
          <c:showBubbleSize val="0"/>
        </c:dLbls>
        <c:smooth val="0"/>
        <c:axId val="447181216"/>
        <c:axId val="447181936"/>
      </c:lineChart>
      <c:catAx>
        <c:axId val="4471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1936"/>
        <c:crosses val="autoZero"/>
        <c:auto val="1"/>
        <c:lblAlgn val="ctr"/>
        <c:lblOffset val="100"/>
        <c:noMultiLvlLbl val="0"/>
      </c:catAx>
      <c:valAx>
        <c:axId val="44718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-CLEANED.xlsx]products by ratings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ratings category</a:t>
            </a:r>
          </a:p>
        </c:rich>
      </c:tx>
      <c:layout>
        <c:manualLayout>
          <c:xMode val="edge"/>
          <c:yMode val="edge"/>
          <c:x val="0.27195866141732283"/>
          <c:y val="0.11083729037687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338342615709621"/>
          <c:y val="0.22325459317585303"/>
          <c:w val="0.4318002208565393"/>
          <c:h val="0.72076576305824369"/>
        </c:manualLayout>
      </c:layout>
      <c:pieChart>
        <c:varyColors val="1"/>
        <c:ser>
          <c:idx val="0"/>
          <c:order val="0"/>
          <c:tx>
            <c:strRef>
              <c:f>'products by ratings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B-40F3-AE3C-B824FE2362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DB-40F3-AE3C-B824FE2362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DB-40F3-AE3C-B824FE236256}"/>
              </c:ext>
            </c:extLst>
          </c:dPt>
          <c:cat>
            <c:strRef>
              <c:f>'products by ratings category'!$A$4:$A$7</c:f>
              <c:strCache>
                <c:ptCount val="3"/>
                <c:pt idx="0">
                  <c:v>average</c:v>
                </c:pt>
                <c:pt idx="1">
                  <c:v>excellent</c:v>
                </c:pt>
                <c:pt idx="2">
                  <c:v>poor</c:v>
                </c:pt>
              </c:strCache>
            </c:strRef>
          </c:cat>
          <c:val>
            <c:numRef>
              <c:f>'products by ratings category'!$B$4:$B$7</c:f>
              <c:numCache>
                <c:formatCode>General</c:formatCode>
                <c:ptCount val="3"/>
                <c:pt idx="0">
                  <c:v>25</c:v>
                </c:pt>
                <c:pt idx="1">
                  <c:v>20</c:v>
                </c:pt>
                <c:pt idx="2">
                  <c:v>70</c:v>
                </c:pt>
              </c:numCache>
            </c:numRef>
          </c:val>
          <c:extLst>
            <c:ext xmlns:c16="http://schemas.microsoft.com/office/drawing/2014/chart" uri="{C3380CC4-5D6E-409C-BE32-E72D297353CC}">
              <c16:uniqueId val="{00000000-E23D-4AE7-9C79-F2407BD3C4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 by discount 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 by discount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6E-4E42-9B40-E8608D6456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6E-4E42-9B40-E8608D6456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6E-4E42-9B40-E8608D64563F}"/>
              </c:ext>
            </c:extLst>
          </c:dPt>
          <c:cat>
            <c:strRef>
              <c:f>'product by discount category'!$A$4:$A$7</c:f>
              <c:strCache>
                <c:ptCount val="3"/>
                <c:pt idx="0">
                  <c:v>high discount</c:v>
                </c:pt>
                <c:pt idx="1">
                  <c:v>lowdiscount</c:v>
                </c:pt>
                <c:pt idx="2">
                  <c:v>medium discount</c:v>
                </c:pt>
              </c:strCache>
            </c:strRef>
          </c:cat>
          <c:val>
            <c:numRef>
              <c:f>'product by discount category'!$B$4:$B$7</c:f>
              <c:numCache>
                <c:formatCode>General</c:formatCode>
                <c:ptCount val="3"/>
                <c:pt idx="0">
                  <c:v>30</c:v>
                </c:pt>
                <c:pt idx="1">
                  <c:v>4</c:v>
                </c:pt>
                <c:pt idx="2">
                  <c:v>23</c:v>
                </c:pt>
              </c:numCache>
            </c:numRef>
          </c:val>
          <c:extLst>
            <c:ext xmlns:c16="http://schemas.microsoft.com/office/drawing/2014/chart" uri="{C3380CC4-5D6E-409C-BE32-E72D297353CC}">
              <c16:uniqueId val="{00000000-3AE3-4F7D-A684-B989DBB469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avg ratings!PivotTable11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 vs average product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avg ratings'!$B$3</c:f>
              <c:strCache>
                <c:ptCount val="1"/>
                <c:pt idx="0">
                  <c:v>Total</c:v>
                </c:pt>
              </c:strCache>
            </c:strRef>
          </c:tx>
          <c:spPr>
            <a:ln w="28575" cap="rnd">
              <a:solidFill>
                <a:schemeClr val="accent1"/>
              </a:solidFill>
              <a:round/>
            </a:ln>
            <a:effectLst/>
          </c:spPr>
          <c:marker>
            <c:symbol val="none"/>
          </c:marker>
          <c:cat>
            <c:strRef>
              <c:f>'discounts vs avg ratings'!$A$4:$A$7</c:f>
              <c:strCache>
                <c:ptCount val="3"/>
                <c:pt idx="0">
                  <c:v>high discount</c:v>
                </c:pt>
                <c:pt idx="1">
                  <c:v>lowdiscount</c:v>
                </c:pt>
                <c:pt idx="2">
                  <c:v>medium discount</c:v>
                </c:pt>
              </c:strCache>
            </c:strRef>
          </c:cat>
          <c:val>
            <c:numRef>
              <c:f>'discounts vs avg ratings'!$B$4:$B$7</c:f>
              <c:numCache>
                <c:formatCode>General</c:formatCode>
                <c:ptCount val="3"/>
                <c:pt idx="0">
                  <c:v>3.613333333333332</c:v>
                </c:pt>
                <c:pt idx="1">
                  <c:v>3.7249999999999996</c:v>
                </c:pt>
                <c:pt idx="2">
                  <c:v>4.2530303030303029</c:v>
                </c:pt>
              </c:numCache>
            </c:numRef>
          </c:val>
          <c:smooth val="0"/>
          <c:extLst>
            <c:ext xmlns:c16="http://schemas.microsoft.com/office/drawing/2014/chart" uri="{C3380CC4-5D6E-409C-BE32-E72D297353CC}">
              <c16:uniqueId val="{00000000-09C1-4FAF-9D56-83A944915224}"/>
            </c:ext>
          </c:extLst>
        </c:ser>
        <c:dLbls>
          <c:showLegendKey val="0"/>
          <c:showVal val="0"/>
          <c:showCatName val="0"/>
          <c:showSerName val="0"/>
          <c:showPercent val="0"/>
          <c:showBubbleSize val="0"/>
        </c:dLbls>
        <c:smooth val="0"/>
        <c:axId val="555487352"/>
        <c:axId val="555492032"/>
      </c:lineChart>
      <c:catAx>
        <c:axId val="55548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92032"/>
        <c:crosses val="autoZero"/>
        <c:auto val="1"/>
        <c:lblAlgn val="ctr"/>
        <c:lblOffset val="100"/>
        <c:noMultiLvlLbl val="0"/>
      </c:catAx>
      <c:valAx>
        <c:axId val="55549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8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Review numbers!PivotTable12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vs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Review numbers'!$B$3</c:f>
              <c:strCache>
                <c:ptCount val="1"/>
                <c:pt idx="0">
                  <c:v>Total</c:v>
                </c:pt>
              </c:strCache>
            </c:strRef>
          </c:tx>
          <c:spPr>
            <a:ln w="28575" cap="rnd">
              <a:solidFill>
                <a:schemeClr val="accent1"/>
              </a:solidFill>
              <a:round/>
            </a:ln>
            <a:effectLst/>
          </c:spPr>
          <c:marker>
            <c:symbol val="none"/>
          </c:marker>
          <c:cat>
            <c:strRef>
              <c:f>'discounts vs Review numbers'!$A$4:$A$7</c:f>
              <c:strCache>
                <c:ptCount val="3"/>
                <c:pt idx="0">
                  <c:v>high discount</c:v>
                </c:pt>
                <c:pt idx="1">
                  <c:v>lowdiscount</c:v>
                </c:pt>
                <c:pt idx="2">
                  <c:v>medium discount</c:v>
                </c:pt>
              </c:strCache>
            </c:strRef>
          </c:cat>
          <c:val>
            <c:numRef>
              <c:f>'discounts vs Review numbers'!$B$4:$B$7</c:f>
              <c:numCache>
                <c:formatCode>General</c:formatCode>
                <c:ptCount val="3"/>
                <c:pt idx="0">
                  <c:v>334</c:v>
                </c:pt>
                <c:pt idx="1">
                  <c:v>38</c:v>
                </c:pt>
                <c:pt idx="2">
                  <c:v>351</c:v>
                </c:pt>
              </c:numCache>
            </c:numRef>
          </c:val>
          <c:smooth val="0"/>
          <c:extLst>
            <c:ext xmlns:c16="http://schemas.microsoft.com/office/drawing/2014/chart" uri="{C3380CC4-5D6E-409C-BE32-E72D297353CC}">
              <c16:uniqueId val="{00000000-CC45-463A-9F7B-8F179C410299}"/>
            </c:ext>
          </c:extLst>
        </c:ser>
        <c:dLbls>
          <c:showLegendKey val="0"/>
          <c:showVal val="0"/>
          <c:showCatName val="0"/>
          <c:showSerName val="0"/>
          <c:showPercent val="0"/>
          <c:showBubbleSize val="0"/>
        </c:dLbls>
        <c:smooth val="0"/>
        <c:axId val="448833840"/>
        <c:axId val="448831320"/>
      </c:lineChart>
      <c:catAx>
        <c:axId val="4488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1320"/>
        <c:crosses val="autoZero"/>
        <c:auto val="1"/>
        <c:lblAlgn val="ctr"/>
        <c:lblOffset val="100"/>
        <c:noMultiLvlLbl val="0"/>
      </c:catAx>
      <c:valAx>
        <c:axId val="44883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lowest rated products!PivotTable9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lowest rated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lowest rated products'!$B$3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'top 5 lowest rated products'!$A$4:$A$9</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'top 5 lowest rated products'!$B$4:$B$9</c:f>
              <c:numCache>
                <c:formatCode>0.0</c:formatCode>
                <c:ptCount val="5"/>
                <c:pt idx="0">
                  <c:v>2</c:v>
                </c:pt>
                <c:pt idx="1">
                  <c:v>2.1</c:v>
                </c:pt>
                <c:pt idx="2">
                  <c:v>2.1</c:v>
                </c:pt>
                <c:pt idx="3">
                  <c:v>2.2000000000000002</c:v>
                </c:pt>
                <c:pt idx="4">
                  <c:v>2.2000000000000002</c:v>
                </c:pt>
              </c:numCache>
            </c:numRef>
          </c:val>
          <c:smooth val="0"/>
          <c:extLst>
            <c:ext xmlns:c16="http://schemas.microsoft.com/office/drawing/2014/chart" uri="{C3380CC4-5D6E-409C-BE32-E72D297353CC}">
              <c16:uniqueId val="{00000000-0E1A-4F84-8BA0-C5E777DB6DBD}"/>
            </c:ext>
          </c:extLst>
        </c:ser>
        <c:dLbls>
          <c:showLegendKey val="0"/>
          <c:showVal val="0"/>
          <c:showCatName val="0"/>
          <c:showSerName val="0"/>
          <c:showPercent val="0"/>
          <c:showBubbleSize val="0"/>
        </c:dLbls>
        <c:smooth val="0"/>
        <c:axId val="449090800"/>
        <c:axId val="449091160"/>
      </c:lineChart>
      <c:catAx>
        <c:axId val="4490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1160"/>
        <c:crosses val="autoZero"/>
        <c:auto val="1"/>
        <c:lblAlgn val="ctr"/>
        <c:lblOffset val="100"/>
        <c:noMultiLvlLbl val="0"/>
      </c:catAx>
      <c:valAx>
        <c:axId val="449091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highest rated products!PivotTable10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highest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highest rated products'!$B$3</c:f>
              <c:strCache>
                <c:ptCount val="1"/>
                <c:pt idx="0">
                  <c:v>Total</c:v>
                </c:pt>
              </c:strCache>
            </c:strRef>
          </c:tx>
          <c:spPr>
            <a:ln w="28575" cap="rnd">
              <a:solidFill>
                <a:schemeClr val="accent1"/>
              </a:solidFill>
              <a:round/>
            </a:ln>
            <a:effectLst/>
          </c:spPr>
          <c:marker>
            <c:symbol val="none"/>
          </c:marker>
          <c:cat>
            <c:strRef>
              <c:f>'top 5 highest rated products'!$A$4:$A$9</c:f>
              <c:strCache>
                <c:ptCount val="5"/>
                <c:pt idx="0">
                  <c:v>Konka Healty Electric Kettle, 24-hour Heat Preservation,1.5L,800W, White</c:v>
                </c:pt>
                <c:pt idx="1">
                  <c:v>Anti-Skid Absorbent Insulation Coaster  For Home Office</c:v>
                </c:pt>
                <c:pt idx="2">
                  <c:v>LASA Aluminum Folding Truck Hand Cart - 68kg Max</c:v>
                </c:pt>
                <c:pt idx="3">
                  <c:v>Bedroom Simple Floor Hanging Clothes Rack Single Pole Hat Rack - White</c:v>
                </c:pt>
                <c:pt idx="4">
                  <c:v>DIY File Folder, Office Drawer File Holder, Pen Holder, Desktop Storage Rack</c:v>
                </c:pt>
              </c:strCache>
            </c:strRef>
          </c:cat>
          <c:val>
            <c:numRef>
              <c:f>'top 5 highest rated products'!$B$4:$B$9</c:f>
              <c:numCache>
                <c:formatCode>0.0</c:formatCode>
                <c:ptCount val="5"/>
                <c:pt idx="0">
                  <c:v>5</c:v>
                </c:pt>
                <c:pt idx="1">
                  <c:v>5</c:v>
                </c:pt>
                <c:pt idx="2">
                  <c:v>5</c:v>
                </c:pt>
                <c:pt idx="3">
                  <c:v>5</c:v>
                </c:pt>
                <c:pt idx="4">
                  <c:v>5</c:v>
                </c:pt>
              </c:numCache>
            </c:numRef>
          </c:val>
          <c:smooth val="0"/>
          <c:extLst>
            <c:ext xmlns:c16="http://schemas.microsoft.com/office/drawing/2014/chart" uri="{C3380CC4-5D6E-409C-BE32-E72D297353CC}">
              <c16:uniqueId val="{00000000-C930-4B43-B395-84BAFC87FF99}"/>
            </c:ext>
          </c:extLst>
        </c:ser>
        <c:dLbls>
          <c:showLegendKey val="0"/>
          <c:showVal val="0"/>
          <c:showCatName val="0"/>
          <c:showSerName val="0"/>
          <c:showPercent val="0"/>
          <c:showBubbleSize val="0"/>
        </c:dLbls>
        <c:smooth val="0"/>
        <c:axId val="448663480"/>
        <c:axId val="448651600"/>
      </c:lineChart>
      <c:catAx>
        <c:axId val="4486634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51600"/>
        <c:crosses val="autoZero"/>
        <c:auto val="1"/>
        <c:lblAlgn val="ctr"/>
        <c:lblOffset val="100"/>
        <c:noMultiLvlLbl val="0"/>
      </c:catAx>
      <c:valAx>
        <c:axId val="448651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6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reviews(Top 10)!PivotTable9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highest product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reviews(Top 10)'!$B$3</c:f>
              <c:strCache>
                <c:ptCount val="1"/>
                <c:pt idx="0">
                  <c:v>Total</c:v>
                </c:pt>
              </c:strCache>
            </c:strRef>
          </c:tx>
          <c:spPr>
            <a:solidFill>
              <a:schemeClr val="accent1"/>
            </a:solidFill>
            <a:ln>
              <a:noFill/>
            </a:ln>
            <a:effectLst/>
          </c:spPr>
          <c:invertIfNegative val="0"/>
          <c:cat>
            <c:strRef>
              <c:f>'highest reviews(Top 10)'!$A$4:$A$14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'highest reviews(Top 10)'!$B$4:$B$14</c:f>
              <c:numCache>
                <c:formatCode>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8E3F-438D-9603-D1B53BECDF41}"/>
            </c:ext>
          </c:extLst>
        </c:ser>
        <c:dLbls>
          <c:showLegendKey val="0"/>
          <c:showVal val="0"/>
          <c:showCatName val="0"/>
          <c:showSerName val="0"/>
          <c:showPercent val="0"/>
          <c:showBubbleSize val="0"/>
        </c:dLbls>
        <c:gapWidth val="219"/>
        <c:overlap val="-27"/>
        <c:axId val="575827216"/>
        <c:axId val="575828656"/>
      </c:barChart>
      <c:catAx>
        <c:axId val="5758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8656"/>
        <c:crosses val="autoZero"/>
        <c:auto val="1"/>
        <c:lblAlgn val="ctr"/>
        <c:lblOffset val="100"/>
        <c:noMultiLvlLbl val="0"/>
      </c:catAx>
      <c:valAx>
        <c:axId val="57582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ratings(Top 10)!PivotTable7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the highest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ratings(Top 10)'!$B$1</c:f>
              <c:strCache>
                <c:ptCount val="1"/>
                <c:pt idx="0">
                  <c:v>Total</c:v>
                </c:pt>
              </c:strCache>
            </c:strRef>
          </c:tx>
          <c:spPr>
            <a:solidFill>
              <a:schemeClr val="accent1"/>
            </a:solidFill>
            <a:ln>
              <a:noFill/>
            </a:ln>
            <a:effectLst/>
          </c:spPr>
          <c:invertIfNegative val="0"/>
          <c:cat>
            <c:strRef>
              <c:f>'highest ratings(Top 10)'!$A$2:$A$12</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'highest ratings(Top 10)'!$B$2:$B$12</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702B-4269-9246-13B8C521EA21}"/>
            </c:ext>
          </c:extLst>
        </c:ser>
        <c:dLbls>
          <c:showLegendKey val="0"/>
          <c:showVal val="0"/>
          <c:showCatName val="0"/>
          <c:showSerName val="0"/>
          <c:showPercent val="0"/>
          <c:showBubbleSize val="0"/>
        </c:dLbls>
        <c:gapWidth val="219"/>
        <c:overlap val="-27"/>
        <c:axId val="563766584"/>
        <c:axId val="374729848"/>
      </c:barChart>
      <c:catAx>
        <c:axId val="56376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9848"/>
        <c:crosses val="autoZero"/>
        <c:auto val="1"/>
        <c:lblAlgn val="ctr"/>
        <c:lblOffset val="100"/>
        <c:noMultiLvlLbl val="0"/>
      </c:catAx>
      <c:valAx>
        <c:axId val="374729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66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discounts(TOP 10)!PivotTable10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highest product discounts</a:t>
            </a:r>
          </a:p>
        </c:rich>
      </c:tx>
      <c:layout>
        <c:manualLayout>
          <c:xMode val="edge"/>
          <c:yMode val="edge"/>
          <c:x val="0.3020623359580052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discounts(TOP 10)'!$B$3</c:f>
              <c:strCache>
                <c:ptCount val="1"/>
                <c:pt idx="0">
                  <c:v>Total</c:v>
                </c:pt>
              </c:strCache>
            </c:strRef>
          </c:tx>
          <c:spPr>
            <a:solidFill>
              <a:schemeClr val="accent1"/>
            </a:solidFill>
            <a:ln>
              <a:noFill/>
            </a:ln>
            <a:effectLst/>
          </c:spPr>
          <c:invertIfNegative val="0"/>
          <c:cat>
            <c:strRef>
              <c:f>'highest discounts(TOP 10)'!$A$4:$A$14</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strCache>
            </c:strRef>
          </c:cat>
          <c:val>
            <c:numRef>
              <c:f>'highest discounts(TOP 10)'!$B$4:$B$14</c:f>
              <c:numCache>
                <c:formatCode>0.00</c:formatCode>
                <c:ptCount val="10"/>
                <c:pt idx="0">
                  <c:v>2585</c:v>
                </c:pt>
                <c:pt idx="1">
                  <c:v>2452</c:v>
                </c:pt>
                <c:pt idx="2">
                  <c:v>2393</c:v>
                </c:pt>
                <c:pt idx="3">
                  <c:v>1946</c:v>
                </c:pt>
                <c:pt idx="4">
                  <c:v>1880</c:v>
                </c:pt>
                <c:pt idx="5">
                  <c:v>1721</c:v>
                </c:pt>
                <c:pt idx="6">
                  <c:v>1670</c:v>
                </c:pt>
                <c:pt idx="7">
                  <c:v>1526</c:v>
                </c:pt>
                <c:pt idx="8">
                  <c:v>1418</c:v>
                </c:pt>
                <c:pt idx="9">
                  <c:v>1360</c:v>
                </c:pt>
              </c:numCache>
            </c:numRef>
          </c:val>
          <c:extLst>
            <c:ext xmlns:c16="http://schemas.microsoft.com/office/drawing/2014/chart" uri="{C3380CC4-5D6E-409C-BE32-E72D297353CC}">
              <c16:uniqueId val="{00000000-234A-43D3-8A8C-DEC2BF8ECBED}"/>
            </c:ext>
          </c:extLst>
        </c:ser>
        <c:dLbls>
          <c:showLegendKey val="0"/>
          <c:showVal val="0"/>
          <c:showCatName val="0"/>
          <c:showSerName val="0"/>
          <c:showPercent val="0"/>
          <c:showBubbleSize val="0"/>
        </c:dLbls>
        <c:gapWidth val="219"/>
        <c:overlap val="-27"/>
        <c:axId val="374733088"/>
        <c:axId val="374730568"/>
      </c:barChart>
      <c:catAx>
        <c:axId val="3747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0568"/>
        <c:crosses val="autoZero"/>
        <c:auto val="1"/>
        <c:lblAlgn val="ctr"/>
        <c:lblOffset val="100"/>
        <c:noMultiLvlLbl val="0"/>
      </c:catAx>
      <c:valAx>
        <c:axId val="374730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-CLEANED.xlsx]reviews as per % discouint!PivotTable2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as per discount %tage </a:t>
            </a:r>
          </a:p>
        </c:rich>
      </c:tx>
      <c:layout>
        <c:manualLayout>
          <c:xMode val="edge"/>
          <c:yMode val="edge"/>
          <c:x val="0.21813673055019067"/>
          <c:y val="9.9362579677540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17530827514474E-2"/>
          <c:y val="0.23211390242886307"/>
          <c:w val="0.87569454761551035"/>
          <c:h val="0.52689247177436149"/>
        </c:manualLayout>
      </c:layout>
      <c:barChart>
        <c:barDir val="col"/>
        <c:grouping val="clustered"/>
        <c:varyColors val="0"/>
        <c:ser>
          <c:idx val="0"/>
          <c:order val="0"/>
          <c:tx>
            <c:strRef>
              <c:f>'reviews as per % discouint'!$B$3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'reviews as per % discouint'!$A$4:$A$51</c:f>
              <c:strCache>
                <c:ptCount val="47"/>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37%</c:v>
                </c:pt>
                <c:pt idx="28">
                  <c:v>38%</c:v>
                </c:pt>
                <c:pt idx="29">
                  <c:v>39%</c:v>
                </c:pt>
                <c:pt idx="30">
                  <c:v>40%</c:v>
                </c:pt>
                <c:pt idx="31">
                  <c:v>41%</c:v>
                </c:pt>
                <c:pt idx="32">
                  <c:v>42%</c:v>
                </c:pt>
                <c:pt idx="33">
                  <c:v>43%</c:v>
                </c:pt>
                <c:pt idx="34">
                  <c:v>45%</c:v>
                </c:pt>
                <c:pt idx="35">
                  <c:v>46%</c:v>
                </c:pt>
                <c:pt idx="36">
                  <c:v>47%</c:v>
                </c:pt>
                <c:pt idx="37">
                  <c:v>48%</c:v>
                </c:pt>
                <c:pt idx="38">
                  <c:v>49%</c:v>
                </c:pt>
                <c:pt idx="39">
                  <c:v>50%</c:v>
                </c:pt>
                <c:pt idx="40">
                  <c:v>51%</c:v>
                </c:pt>
                <c:pt idx="41">
                  <c:v>52%</c:v>
                </c:pt>
                <c:pt idx="42">
                  <c:v>53%</c:v>
                </c:pt>
                <c:pt idx="43">
                  <c:v>54%</c:v>
                </c:pt>
                <c:pt idx="44">
                  <c:v>55%</c:v>
                </c:pt>
                <c:pt idx="45">
                  <c:v>61%</c:v>
                </c:pt>
                <c:pt idx="46">
                  <c:v>64%</c:v>
                </c:pt>
              </c:strCache>
            </c:strRef>
          </c:cat>
          <c:val>
            <c:numRef>
              <c:f>'reviews as per % discouint'!$B$4:$B$51</c:f>
              <c:numCache>
                <c:formatCode>General</c:formatCode>
                <c:ptCount val="47"/>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numCache>
            </c:numRef>
          </c:val>
          <c:extLst>
            <c:ext xmlns:c16="http://schemas.microsoft.com/office/drawing/2014/chart" uri="{C3380CC4-5D6E-409C-BE32-E72D297353CC}">
              <c16:uniqueId val="{00000001-938D-4220-B15B-8E43E99A2561}"/>
            </c:ext>
          </c:extLst>
        </c:ser>
        <c:dLbls>
          <c:showLegendKey val="0"/>
          <c:showVal val="0"/>
          <c:showCatName val="0"/>
          <c:showSerName val="0"/>
          <c:showPercent val="0"/>
          <c:showBubbleSize val="0"/>
        </c:dLbls>
        <c:gapWidth val="219"/>
        <c:overlap val="-27"/>
        <c:axId val="575832616"/>
        <c:axId val="575830096"/>
      </c:barChart>
      <c:catAx>
        <c:axId val="575832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0096"/>
        <c:crosses val="autoZero"/>
        <c:auto val="1"/>
        <c:lblAlgn val="ctr"/>
        <c:lblOffset val="100"/>
        <c:noMultiLvlLbl val="0"/>
      </c:catAx>
      <c:valAx>
        <c:axId val="5758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2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-CLEANED.xlsx]review per product rating!PivotTable3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Reviews per product 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26791447944006996"/>
          <c:w val="0.77378937007874016"/>
          <c:h val="0.32475794692330123"/>
        </c:manualLayout>
      </c:layout>
      <c:barChart>
        <c:barDir val="col"/>
        <c:grouping val="clustered"/>
        <c:varyColors val="0"/>
        <c:ser>
          <c:idx val="0"/>
          <c:order val="0"/>
          <c:tx>
            <c:strRef>
              <c:f>'review per product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'review per product rating'!$A$4:$A$26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'review per product rating'!$B$4:$B$26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1-9382-4C8B-8643-4D2C7BF8A9E6}"/>
            </c:ext>
          </c:extLst>
        </c:ser>
        <c:dLbls>
          <c:dLblPos val="outEnd"/>
          <c:showLegendKey val="0"/>
          <c:showVal val="1"/>
          <c:showCatName val="0"/>
          <c:showSerName val="0"/>
          <c:showPercent val="0"/>
          <c:showBubbleSize val="0"/>
        </c:dLbls>
        <c:gapWidth val="100"/>
        <c:overlap val="-24"/>
        <c:axId val="409733840"/>
        <c:axId val="409734200"/>
      </c:barChart>
      <c:catAx>
        <c:axId val="40973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4200"/>
        <c:crosses val="autoZero"/>
        <c:auto val="1"/>
        <c:lblAlgn val="ctr"/>
        <c:lblOffset val="100"/>
        <c:noMultiLvlLbl val="0"/>
      </c:catAx>
      <c:valAx>
        <c:axId val="409734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7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-CLEANED.xlsx]products by ratings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ratings category</a:t>
            </a:r>
          </a:p>
        </c:rich>
      </c:tx>
      <c:layout>
        <c:manualLayout>
          <c:xMode val="edge"/>
          <c:yMode val="edge"/>
          <c:x val="0.27195866141732283"/>
          <c:y val="0.11083729037687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40230971128608"/>
          <c:y val="0.10539734176077871"/>
          <c:w val="0.41211464566929135"/>
          <c:h val="0.8279087699790818"/>
        </c:manualLayout>
      </c:layout>
      <c:pieChart>
        <c:varyColors val="1"/>
        <c:ser>
          <c:idx val="0"/>
          <c:order val="0"/>
          <c:tx>
            <c:strRef>
              <c:f>'products by ratings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F2-4AE4-B196-588614FB3A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F2-4AE4-B196-588614FB3A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F2-4AE4-B196-588614FB3AE9}"/>
              </c:ext>
            </c:extLst>
          </c:dPt>
          <c:cat>
            <c:strRef>
              <c:f>'products by ratings category'!$A$4:$A$7</c:f>
              <c:strCache>
                <c:ptCount val="3"/>
                <c:pt idx="0">
                  <c:v>average</c:v>
                </c:pt>
                <c:pt idx="1">
                  <c:v>excellent</c:v>
                </c:pt>
                <c:pt idx="2">
                  <c:v>poor</c:v>
                </c:pt>
              </c:strCache>
            </c:strRef>
          </c:cat>
          <c:val>
            <c:numRef>
              <c:f>'products by ratings category'!$B$4:$B$7</c:f>
              <c:numCache>
                <c:formatCode>General</c:formatCode>
                <c:ptCount val="3"/>
                <c:pt idx="0">
                  <c:v>25</c:v>
                </c:pt>
                <c:pt idx="1">
                  <c:v>20</c:v>
                </c:pt>
                <c:pt idx="2">
                  <c:v>70</c:v>
                </c:pt>
              </c:numCache>
            </c:numRef>
          </c:val>
          <c:extLst>
            <c:ext xmlns:c16="http://schemas.microsoft.com/office/drawing/2014/chart" uri="{C3380CC4-5D6E-409C-BE32-E72D297353CC}">
              <c16:uniqueId val="{00000006-79F2-4AE4-B196-588614FB3A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-CLEANED.xlsx]product by discount category!PivotTable5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'product by discount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10-422D-8132-472D897DF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10-422D-8132-472D897DF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10-422D-8132-472D897DFFC1}"/>
              </c:ext>
            </c:extLst>
          </c:dPt>
          <c:cat>
            <c:strRef>
              <c:f>'product by discount category'!$A$4:$A$7</c:f>
              <c:strCache>
                <c:ptCount val="3"/>
                <c:pt idx="0">
                  <c:v>high discount</c:v>
                </c:pt>
                <c:pt idx="1">
                  <c:v>lowdiscount</c:v>
                </c:pt>
                <c:pt idx="2">
                  <c:v>medium discount</c:v>
                </c:pt>
              </c:strCache>
            </c:strRef>
          </c:cat>
          <c:val>
            <c:numRef>
              <c:f>'product by discount category'!$B$4:$B$7</c:f>
              <c:numCache>
                <c:formatCode>General</c:formatCode>
                <c:ptCount val="3"/>
                <c:pt idx="0">
                  <c:v>30</c:v>
                </c:pt>
                <c:pt idx="1">
                  <c:v>4</c:v>
                </c:pt>
                <c:pt idx="2">
                  <c:v>23</c:v>
                </c:pt>
              </c:numCache>
            </c:numRef>
          </c:val>
          <c:extLst>
            <c:ext xmlns:c16="http://schemas.microsoft.com/office/drawing/2014/chart" uri="{C3380CC4-5D6E-409C-BE32-E72D297353CC}">
              <c16:uniqueId val="{00000006-3110-422D-8132-472D897DFF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avg ratings!PivotTable11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 vs average product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avg ratings'!$B$3</c:f>
              <c:strCache>
                <c:ptCount val="1"/>
                <c:pt idx="0">
                  <c:v>Total</c:v>
                </c:pt>
              </c:strCache>
            </c:strRef>
          </c:tx>
          <c:spPr>
            <a:ln w="28575" cap="rnd">
              <a:solidFill>
                <a:schemeClr val="accent1"/>
              </a:solidFill>
              <a:round/>
            </a:ln>
            <a:effectLst/>
          </c:spPr>
          <c:marker>
            <c:symbol val="none"/>
          </c:marker>
          <c:cat>
            <c:strRef>
              <c:f>'discounts vs avg ratings'!$A$4:$A$7</c:f>
              <c:strCache>
                <c:ptCount val="3"/>
                <c:pt idx="0">
                  <c:v>high discount</c:v>
                </c:pt>
                <c:pt idx="1">
                  <c:v>lowdiscount</c:v>
                </c:pt>
                <c:pt idx="2">
                  <c:v>medium discount</c:v>
                </c:pt>
              </c:strCache>
            </c:strRef>
          </c:cat>
          <c:val>
            <c:numRef>
              <c:f>'discounts vs avg ratings'!$B$4:$B$7</c:f>
              <c:numCache>
                <c:formatCode>General</c:formatCode>
                <c:ptCount val="3"/>
                <c:pt idx="0">
                  <c:v>3.613333333333332</c:v>
                </c:pt>
                <c:pt idx="1">
                  <c:v>3.7249999999999996</c:v>
                </c:pt>
                <c:pt idx="2">
                  <c:v>4.2530303030303029</c:v>
                </c:pt>
              </c:numCache>
            </c:numRef>
          </c:val>
          <c:smooth val="0"/>
          <c:extLst>
            <c:ext xmlns:c16="http://schemas.microsoft.com/office/drawing/2014/chart" uri="{C3380CC4-5D6E-409C-BE32-E72D297353CC}">
              <c16:uniqueId val="{00000000-CEE2-4629-B897-52CD3271C719}"/>
            </c:ext>
          </c:extLst>
        </c:ser>
        <c:dLbls>
          <c:showLegendKey val="0"/>
          <c:showVal val="0"/>
          <c:showCatName val="0"/>
          <c:showSerName val="0"/>
          <c:showPercent val="0"/>
          <c:showBubbleSize val="0"/>
        </c:dLbls>
        <c:smooth val="0"/>
        <c:axId val="555487352"/>
        <c:axId val="555492032"/>
      </c:lineChart>
      <c:catAx>
        <c:axId val="55548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92032"/>
        <c:crosses val="autoZero"/>
        <c:auto val="1"/>
        <c:lblAlgn val="ctr"/>
        <c:lblOffset val="100"/>
        <c:noMultiLvlLbl val="0"/>
      </c:catAx>
      <c:valAx>
        <c:axId val="55549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8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-CLEANED.xlsx]discounts vs Review numbers!PivotTable12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vs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'discounts vs Review numbers'!$B$3</c:f>
              <c:strCache>
                <c:ptCount val="1"/>
                <c:pt idx="0">
                  <c:v>Total</c:v>
                </c:pt>
              </c:strCache>
            </c:strRef>
          </c:tx>
          <c:spPr>
            <a:ln w="28575" cap="rnd">
              <a:solidFill>
                <a:schemeClr val="accent1"/>
              </a:solidFill>
              <a:round/>
            </a:ln>
            <a:effectLst/>
          </c:spPr>
          <c:marker>
            <c:symbol val="none"/>
          </c:marker>
          <c:cat>
            <c:strRef>
              <c:f>'discounts vs Review numbers'!$A$4:$A$7</c:f>
              <c:strCache>
                <c:ptCount val="3"/>
                <c:pt idx="0">
                  <c:v>high discount</c:v>
                </c:pt>
                <c:pt idx="1">
                  <c:v>lowdiscount</c:v>
                </c:pt>
                <c:pt idx="2">
                  <c:v>medium discount</c:v>
                </c:pt>
              </c:strCache>
            </c:strRef>
          </c:cat>
          <c:val>
            <c:numRef>
              <c:f>'discounts vs Review numbers'!$B$4:$B$7</c:f>
              <c:numCache>
                <c:formatCode>General</c:formatCode>
                <c:ptCount val="3"/>
                <c:pt idx="0">
                  <c:v>334</c:v>
                </c:pt>
                <c:pt idx="1">
                  <c:v>38</c:v>
                </c:pt>
                <c:pt idx="2">
                  <c:v>351</c:v>
                </c:pt>
              </c:numCache>
            </c:numRef>
          </c:val>
          <c:smooth val="0"/>
          <c:extLst>
            <c:ext xmlns:c16="http://schemas.microsoft.com/office/drawing/2014/chart" uri="{C3380CC4-5D6E-409C-BE32-E72D297353CC}">
              <c16:uniqueId val="{00000000-7A5A-4866-9990-114EF6908CF9}"/>
            </c:ext>
          </c:extLst>
        </c:ser>
        <c:dLbls>
          <c:showLegendKey val="0"/>
          <c:showVal val="0"/>
          <c:showCatName val="0"/>
          <c:showSerName val="0"/>
          <c:showPercent val="0"/>
          <c:showBubbleSize val="0"/>
        </c:dLbls>
        <c:smooth val="0"/>
        <c:axId val="448833840"/>
        <c:axId val="448831320"/>
      </c:lineChart>
      <c:catAx>
        <c:axId val="4488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1320"/>
        <c:crosses val="autoZero"/>
        <c:auto val="1"/>
        <c:lblAlgn val="ctr"/>
        <c:lblOffset val="100"/>
        <c:noMultiLvlLbl val="0"/>
      </c:catAx>
      <c:valAx>
        <c:axId val="44883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lowest rated products!PivotTable9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lowest rated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lowest rated products'!$B$3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'top 5 lowest rated products'!$A$4:$A$9</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'top 5 lowest rated products'!$B$4:$B$9</c:f>
              <c:numCache>
                <c:formatCode>0.0</c:formatCode>
                <c:ptCount val="5"/>
                <c:pt idx="0">
                  <c:v>2</c:v>
                </c:pt>
                <c:pt idx="1">
                  <c:v>2.1</c:v>
                </c:pt>
                <c:pt idx="2">
                  <c:v>2.1</c:v>
                </c:pt>
                <c:pt idx="3">
                  <c:v>2.2000000000000002</c:v>
                </c:pt>
                <c:pt idx="4">
                  <c:v>2.2000000000000002</c:v>
                </c:pt>
              </c:numCache>
            </c:numRef>
          </c:val>
          <c:smooth val="0"/>
          <c:extLst>
            <c:ext xmlns:c16="http://schemas.microsoft.com/office/drawing/2014/chart" uri="{C3380CC4-5D6E-409C-BE32-E72D297353CC}">
              <c16:uniqueId val="{00000001-CC76-4F5E-A208-CA4B6AC9F189}"/>
            </c:ext>
          </c:extLst>
        </c:ser>
        <c:dLbls>
          <c:showLegendKey val="0"/>
          <c:showVal val="0"/>
          <c:showCatName val="0"/>
          <c:showSerName val="0"/>
          <c:showPercent val="0"/>
          <c:showBubbleSize val="0"/>
        </c:dLbls>
        <c:smooth val="0"/>
        <c:axId val="449090800"/>
        <c:axId val="449091160"/>
      </c:lineChart>
      <c:catAx>
        <c:axId val="4490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1160"/>
        <c:crosses val="autoZero"/>
        <c:auto val="1"/>
        <c:lblAlgn val="ctr"/>
        <c:lblOffset val="100"/>
        <c:noMultiLvlLbl val="0"/>
      </c:catAx>
      <c:valAx>
        <c:axId val="449091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9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-CLEANED.xlsx]top 5 highest rated products!PivotTable10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highest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5 highest rated products'!$B$3</c:f>
              <c:strCache>
                <c:ptCount val="1"/>
                <c:pt idx="0">
                  <c:v>Total</c:v>
                </c:pt>
              </c:strCache>
            </c:strRef>
          </c:tx>
          <c:spPr>
            <a:ln w="28575" cap="rnd">
              <a:solidFill>
                <a:schemeClr val="accent1"/>
              </a:solidFill>
              <a:round/>
            </a:ln>
            <a:effectLst/>
          </c:spPr>
          <c:marker>
            <c:symbol val="none"/>
          </c:marker>
          <c:cat>
            <c:strRef>
              <c:f>'top 5 highest rated products'!$A$4:$A$9</c:f>
              <c:strCache>
                <c:ptCount val="5"/>
                <c:pt idx="0">
                  <c:v>Konka Healty Electric Kettle, 24-hour Heat Preservation,1.5L,800W, White</c:v>
                </c:pt>
                <c:pt idx="1">
                  <c:v>Anti-Skid Absorbent Insulation Coaster  For Home Office</c:v>
                </c:pt>
                <c:pt idx="2">
                  <c:v>LASA Aluminum Folding Truck Hand Cart - 68kg Max</c:v>
                </c:pt>
                <c:pt idx="3">
                  <c:v>Bedroom Simple Floor Hanging Clothes Rack Single Pole Hat Rack - White</c:v>
                </c:pt>
                <c:pt idx="4">
                  <c:v>DIY File Folder, Office Drawer File Holder, Pen Holder, Desktop Storage Rack</c:v>
                </c:pt>
              </c:strCache>
            </c:strRef>
          </c:cat>
          <c:val>
            <c:numRef>
              <c:f>'top 5 highest rated products'!$B$4:$B$9</c:f>
              <c:numCache>
                <c:formatCode>0.0</c:formatCode>
                <c:ptCount val="5"/>
                <c:pt idx="0">
                  <c:v>5</c:v>
                </c:pt>
                <c:pt idx="1">
                  <c:v>5</c:v>
                </c:pt>
                <c:pt idx="2">
                  <c:v>5</c:v>
                </c:pt>
                <c:pt idx="3">
                  <c:v>5</c:v>
                </c:pt>
                <c:pt idx="4">
                  <c:v>5</c:v>
                </c:pt>
              </c:numCache>
            </c:numRef>
          </c:val>
          <c:smooth val="0"/>
          <c:extLst>
            <c:ext xmlns:c16="http://schemas.microsoft.com/office/drawing/2014/chart" uri="{C3380CC4-5D6E-409C-BE32-E72D297353CC}">
              <c16:uniqueId val="{00000000-9A87-4FAB-8408-9196BC217B4A}"/>
            </c:ext>
          </c:extLst>
        </c:ser>
        <c:dLbls>
          <c:showLegendKey val="0"/>
          <c:showVal val="0"/>
          <c:showCatName val="0"/>
          <c:showSerName val="0"/>
          <c:showPercent val="0"/>
          <c:showBubbleSize val="0"/>
        </c:dLbls>
        <c:smooth val="0"/>
        <c:axId val="448663480"/>
        <c:axId val="448651600"/>
      </c:lineChart>
      <c:catAx>
        <c:axId val="4486634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51600"/>
        <c:crosses val="autoZero"/>
        <c:auto val="1"/>
        <c:lblAlgn val="ctr"/>
        <c:lblOffset val="100"/>
        <c:noMultiLvlLbl val="0"/>
      </c:catAx>
      <c:valAx>
        <c:axId val="448651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6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ratings(Top 10)!PivotTable7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the highest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ratings(Top 10)'!$B$1</c:f>
              <c:strCache>
                <c:ptCount val="1"/>
                <c:pt idx="0">
                  <c:v>Total</c:v>
                </c:pt>
              </c:strCache>
            </c:strRef>
          </c:tx>
          <c:spPr>
            <a:solidFill>
              <a:schemeClr val="accent1"/>
            </a:solidFill>
            <a:ln>
              <a:noFill/>
            </a:ln>
            <a:effectLst/>
          </c:spPr>
          <c:invertIfNegative val="0"/>
          <c:cat>
            <c:strRef>
              <c:f>'highest ratings(Top 10)'!$A$2:$A$12</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'highest ratings(Top 10)'!$B$2:$B$12</c:f>
              <c:numCache>
                <c:formatCode>0.0</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677-48E6-994A-EB387F362DD5}"/>
            </c:ext>
          </c:extLst>
        </c:ser>
        <c:dLbls>
          <c:showLegendKey val="0"/>
          <c:showVal val="0"/>
          <c:showCatName val="0"/>
          <c:showSerName val="0"/>
          <c:showPercent val="0"/>
          <c:showBubbleSize val="0"/>
        </c:dLbls>
        <c:gapWidth val="219"/>
        <c:overlap val="-27"/>
        <c:axId val="563766584"/>
        <c:axId val="374729848"/>
      </c:barChart>
      <c:catAx>
        <c:axId val="56376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9848"/>
        <c:crosses val="autoZero"/>
        <c:auto val="1"/>
        <c:lblAlgn val="ctr"/>
        <c:lblOffset val="100"/>
        <c:noMultiLvlLbl val="0"/>
      </c:catAx>
      <c:valAx>
        <c:axId val="374729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66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reviews(Top 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highest product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reviews(Top 10)'!$B$3</c:f>
              <c:strCache>
                <c:ptCount val="1"/>
                <c:pt idx="0">
                  <c:v>Total</c:v>
                </c:pt>
              </c:strCache>
            </c:strRef>
          </c:tx>
          <c:spPr>
            <a:solidFill>
              <a:schemeClr val="accent1"/>
            </a:solidFill>
            <a:ln>
              <a:noFill/>
            </a:ln>
            <a:effectLst/>
          </c:spPr>
          <c:invertIfNegative val="0"/>
          <c:cat>
            <c:strRef>
              <c:f>'highest reviews(Top 10)'!$A$4:$A$14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'highest reviews(Top 10)'!$B$4:$B$14</c:f>
              <c:numCache>
                <c:formatCode>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FEF-45D6-968A-45946815BB31}"/>
            </c:ext>
          </c:extLst>
        </c:ser>
        <c:dLbls>
          <c:showLegendKey val="0"/>
          <c:showVal val="0"/>
          <c:showCatName val="0"/>
          <c:showSerName val="0"/>
          <c:showPercent val="0"/>
          <c:showBubbleSize val="0"/>
        </c:dLbls>
        <c:gapWidth val="219"/>
        <c:overlap val="-27"/>
        <c:axId val="575827216"/>
        <c:axId val="575828656"/>
      </c:barChart>
      <c:catAx>
        <c:axId val="5758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8656"/>
        <c:crosses val="autoZero"/>
        <c:auto val="1"/>
        <c:lblAlgn val="ctr"/>
        <c:lblOffset val="100"/>
        <c:noMultiLvlLbl val="0"/>
      </c:catAx>
      <c:valAx>
        <c:axId val="57582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-CLEANED.xlsx]highest discounts(TOP 10)!PivotTable10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highest product discounts</a:t>
            </a:r>
          </a:p>
        </c:rich>
      </c:tx>
      <c:layout>
        <c:manualLayout>
          <c:xMode val="edge"/>
          <c:yMode val="edge"/>
          <c:x val="0.3020623359580052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discounts(TOP 10)'!$B$3</c:f>
              <c:strCache>
                <c:ptCount val="1"/>
                <c:pt idx="0">
                  <c:v>Total</c:v>
                </c:pt>
              </c:strCache>
            </c:strRef>
          </c:tx>
          <c:spPr>
            <a:solidFill>
              <a:schemeClr val="accent1"/>
            </a:solidFill>
            <a:ln>
              <a:noFill/>
            </a:ln>
            <a:effectLst/>
          </c:spPr>
          <c:invertIfNegative val="0"/>
          <c:cat>
            <c:strRef>
              <c:f>'highest discounts(TOP 10)'!$A$4:$A$14</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strCache>
            </c:strRef>
          </c:cat>
          <c:val>
            <c:numRef>
              <c:f>'highest discounts(TOP 10)'!$B$4:$B$14</c:f>
              <c:numCache>
                <c:formatCode>0.00</c:formatCode>
                <c:ptCount val="10"/>
                <c:pt idx="0">
                  <c:v>2585</c:v>
                </c:pt>
                <c:pt idx="1">
                  <c:v>2452</c:v>
                </c:pt>
                <c:pt idx="2">
                  <c:v>2393</c:v>
                </c:pt>
                <c:pt idx="3">
                  <c:v>1946</c:v>
                </c:pt>
                <c:pt idx="4">
                  <c:v>1880</c:v>
                </c:pt>
                <c:pt idx="5">
                  <c:v>1721</c:v>
                </c:pt>
                <c:pt idx="6">
                  <c:v>1670</c:v>
                </c:pt>
                <c:pt idx="7">
                  <c:v>1526</c:v>
                </c:pt>
                <c:pt idx="8">
                  <c:v>1418</c:v>
                </c:pt>
                <c:pt idx="9">
                  <c:v>1360</c:v>
                </c:pt>
              </c:numCache>
            </c:numRef>
          </c:val>
          <c:extLst>
            <c:ext xmlns:c16="http://schemas.microsoft.com/office/drawing/2014/chart" uri="{C3380CC4-5D6E-409C-BE32-E72D297353CC}">
              <c16:uniqueId val="{00000000-D33C-41EF-BC09-37C065782B7A}"/>
            </c:ext>
          </c:extLst>
        </c:ser>
        <c:dLbls>
          <c:showLegendKey val="0"/>
          <c:showVal val="0"/>
          <c:showCatName val="0"/>
          <c:showSerName val="0"/>
          <c:showPercent val="0"/>
          <c:showBubbleSize val="0"/>
        </c:dLbls>
        <c:gapWidth val="219"/>
        <c:overlap val="-27"/>
        <c:axId val="374733088"/>
        <c:axId val="374730568"/>
      </c:barChart>
      <c:catAx>
        <c:axId val="3747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0568"/>
        <c:crosses val="autoZero"/>
        <c:auto val="1"/>
        <c:lblAlgn val="ctr"/>
        <c:lblOffset val="100"/>
        <c:noMultiLvlLbl val="0"/>
      </c:catAx>
      <c:valAx>
        <c:axId val="374730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xdr:col>
      <xdr:colOff>107950</xdr:colOff>
      <xdr:row>0</xdr:row>
      <xdr:rowOff>63500</xdr:rowOff>
    </xdr:from>
    <xdr:to>
      <xdr:col>24</xdr:col>
      <xdr:colOff>234950</xdr:colOff>
      <xdr:row>13</xdr:row>
      <xdr:rowOff>69850</xdr:rowOff>
    </xdr:to>
    <xdr:graphicFrame macro="">
      <xdr:nvGraphicFramePr>
        <xdr:cNvPr id="2" name="Chart 1">
          <a:extLst>
            <a:ext uri="{FF2B5EF4-FFF2-40B4-BE49-F238E27FC236}">
              <a16:creationId xmlns:a16="http://schemas.microsoft.com/office/drawing/2014/main" id="{0EF73960-2A52-4446-80B9-9C07251A5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279400</xdr:colOff>
      <xdr:row>0</xdr:row>
      <xdr:rowOff>114300</xdr:rowOff>
    </xdr:from>
    <xdr:to>
      <xdr:col>31</xdr:col>
      <xdr:colOff>127000</xdr:colOff>
      <xdr:row>13</xdr:row>
      <xdr:rowOff>57150</xdr:rowOff>
    </xdr:to>
    <xdr:graphicFrame macro="">
      <xdr:nvGraphicFramePr>
        <xdr:cNvPr id="3" name="Chart 2">
          <a:extLst>
            <a:ext uri="{FF2B5EF4-FFF2-40B4-BE49-F238E27FC236}">
              <a16:creationId xmlns:a16="http://schemas.microsoft.com/office/drawing/2014/main" id="{D7EC8557-99C6-6FCF-07A5-CB8C9D5B4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209550</xdr:colOff>
      <xdr:row>1</xdr:row>
      <xdr:rowOff>44450</xdr:rowOff>
    </xdr:from>
    <xdr:to>
      <xdr:col>31</xdr:col>
      <xdr:colOff>209550</xdr:colOff>
      <xdr:row>14</xdr:row>
      <xdr:rowOff>174625</xdr:rowOff>
    </xdr:to>
    <mc:AlternateContent xmlns:mc="http://schemas.openxmlformats.org/markup-compatibility/2006" xmlns:a14="http://schemas.microsoft.com/office/drawing/2010/main">
      <mc:Choice Requires="a14">
        <xdr:graphicFrame macro="">
          <xdr:nvGraphicFramePr>
            <xdr:cNvPr id="4" name="Discount2 2">
              <a:extLst>
                <a:ext uri="{FF2B5EF4-FFF2-40B4-BE49-F238E27FC236}">
                  <a16:creationId xmlns:a16="http://schemas.microsoft.com/office/drawing/2014/main" id="{BE08DC29-6636-1394-E18E-760D04A4A0F5}"/>
                </a:ext>
              </a:extLst>
            </xdr:cNvPr>
            <xdr:cNvGraphicFramePr/>
          </xdr:nvGraphicFramePr>
          <xdr:xfrm>
            <a:off x="0" y="0"/>
            <a:ext cx="0" cy="0"/>
          </xdr:xfrm>
          <a:graphic>
            <a:graphicData uri="http://schemas.microsoft.com/office/drawing/2010/slicer">
              <sle:slicer xmlns:sle="http://schemas.microsoft.com/office/drawing/2010/slicer" name="Discount2 2"/>
            </a:graphicData>
          </a:graphic>
        </xdr:graphicFrame>
      </mc:Choice>
      <mc:Fallback xmlns="">
        <xdr:sp macro="" textlink="">
          <xdr:nvSpPr>
            <xdr:cNvPr id="0" name=""/>
            <xdr:cNvSpPr>
              <a:spLocks noTextEdit="1"/>
            </xdr:cNvSpPr>
          </xdr:nvSpPr>
          <xdr:spPr>
            <a:xfrm>
              <a:off x="8337550" y="22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0</xdr:row>
      <xdr:rowOff>146050</xdr:rowOff>
    </xdr:from>
    <xdr:to>
      <xdr:col>10</xdr:col>
      <xdr:colOff>25400</xdr:colOff>
      <xdr:row>13</xdr:row>
      <xdr:rowOff>139700</xdr:rowOff>
    </xdr:to>
    <xdr:graphicFrame macro="">
      <xdr:nvGraphicFramePr>
        <xdr:cNvPr id="2" name="Chart 1">
          <a:extLst>
            <a:ext uri="{FF2B5EF4-FFF2-40B4-BE49-F238E27FC236}">
              <a16:creationId xmlns:a16="http://schemas.microsoft.com/office/drawing/2014/main" id="{985A7B30-C425-2334-7390-89AF5D50E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149225</xdr:colOff>
      <xdr:row>0</xdr:row>
      <xdr:rowOff>152400</xdr:rowOff>
    </xdr:from>
    <xdr:to>
      <xdr:col>17</xdr:col>
      <xdr:colOff>50800</xdr:colOff>
      <xdr:row>13</xdr:row>
      <xdr:rowOff>114300</xdr:rowOff>
    </xdr:to>
    <xdr:graphicFrame macro="">
      <xdr:nvGraphicFramePr>
        <xdr:cNvPr id="3" name="Chart 2">
          <a:extLst>
            <a:ext uri="{FF2B5EF4-FFF2-40B4-BE49-F238E27FC236}">
              <a16:creationId xmlns:a16="http://schemas.microsoft.com/office/drawing/2014/main" id="{7A018F54-223D-BF33-96EF-05FC43460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190500</xdr:colOff>
      <xdr:row>5</xdr:row>
      <xdr:rowOff>6350</xdr:rowOff>
    </xdr:from>
    <xdr:to>
      <xdr:col>14</xdr:col>
      <xdr:colOff>190500</xdr:colOff>
      <xdr:row>18</xdr:row>
      <xdr:rowOff>136525</xdr:rowOff>
    </xdr:to>
    <mc:AlternateContent xmlns:mc="http://schemas.openxmlformats.org/markup-compatibility/2006" xmlns:a14="http://schemas.microsoft.com/office/drawing/2010/main">
      <mc:Choice Requires="a14">
        <xdr:graphicFrame macro="">
          <xdr:nvGraphicFramePr>
            <xdr:cNvPr id="4" name="Ratingd 2">
              <a:extLst>
                <a:ext uri="{FF2B5EF4-FFF2-40B4-BE49-F238E27FC236}">
                  <a16:creationId xmlns:a16="http://schemas.microsoft.com/office/drawing/2014/main" id="{E26DAB9B-1BC4-79F0-5482-4CC01FD1CD7C}"/>
                </a:ext>
              </a:extLst>
            </xdr:cNvPr>
            <xdr:cNvGraphicFramePr/>
          </xdr:nvGraphicFramePr>
          <xdr:xfrm>
            <a:off x="0" y="0"/>
            <a:ext cx="0" cy="0"/>
          </xdr:xfrm>
          <a:graphic>
            <a:graphicData uri="http://schemas.microsoft.com/office/drawing/2010/slicer">
              <sle:slicer xmlns:sle="http://schemas.microsoft.com/office/drawing/2010/slicer" name="Ratingd 2"/>
            </a:graphicData>
          </a:graphic>
        </xdr:graphicFrame>
      </mc:Choice>
      <mc:Fallback xmlns="">
        <xdr:sp macro="" textlink="">
          <xdr:nvSpPr>
            <xdr:cNvPr id="0" name=""/>
            <xdr:cNvSpPr>
              <a:spLocks noTextEdit="1"/>
            </xdr:cNvSpPr>
          </xdr:nvSpPr>
          <xdr:spPr>
            <a:xfrm>
              <a:off x="7454900" y="92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120650</xdr:colOff>
      <xdr:row>2</xdr:row>
      <xdr:rowOff>19050</xdr:rowOff>
    </xdr:from>
    <xdr:to>
      <xdr:col>11</xdr:col>
      <xdr:colOff>19050</xdr:colOff>
      <xdr:row>15</xdr:row>
      <xdr:rowOff>120650</xdr:rowOff>
    </xdr:to>
    <xdr:graphicFrame macro="">
      <xdr:nvGraphicFramePr>
        <xdr:cNvPr id="2" name="Chart 1">
          <a:extLst>
            <a:ext uri="{FF2B5EF4-FFF2-40B4-BE49-F238E27FC236}">
              <a16:creationId xmlns:a16="http://schemas.microsoft.com/office/drawing/2014/main" id="{8C339A6D-A56F-F1C5-3A2A-DD1AF6BD9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438150</xdr:colOff>
      <xdr:row>7</xdr:row>
      <xdr:rowOff>114300</xdr:rowOff>
    </xdr:from>
    <xdr:to>
      <xdr:col>1</xdr:col>
      <xdr:colOff>1403350</xdr:colOff>
      <xdr:row>21</xdr:row>
      <xdr:rowOff>60325</xdr:rowOff>
    </xdr:to>
    <mc:AlternateContent xmlns:mc="http://schemas.openxmlformats.org/markup-compatibility/2006" xmlns:a14="http://schemas.microsoft.com/office/drawing/2010/main">
      <mc:Choice Requires="a14">
        <xdr:graphicFrame macro="">
          <xdr:nvGraphicFramePr>
            <xdr:cNvPr id="6" name="Product 3">
              <a:extLst>
                <a:ext uri="{FF2B5EF4-FFF2-40B4-BE49-F238E27FC236}">
                  <a16:creationId xmlns:a16="http://schemas.microsoft.com/office/drawing/2014/main" id="{63C428E4-26AC-87DB-6EDB-71D6CB8729BE}"/>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438150" y="140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317500</xdr:colOff>
      <xdr:row>3</xdr:row>
      <xdr:rowOff>69850</xdr:rowOff>
    </xdr:from>
    <xdr:to>
      <xdr:col>15</xdr:col>
      <xdr:colOff>317500</xdr:colOff>
      <xdr:row>17</xdr:row>
      <xdr:rowOff>15875</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1E245992-859D-B4E4-2F96-DD249D0EC77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686800" y="62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323850</xdr:colOff>
      <xdr:row>3</xdr:row>
      <xdr:rowOff>0</xdr:rowOff>
    </xdr:from>
    <xdr:to>
      <xdr:col>11</xdr:col>
      <xdr:colOff>400050</xdr:colOff>
      <xdr:row>15</xdr:row>
      <xdr:rowOff>158750</xdr:rowOff>
    </xdr:to>
    <xdr:graphicFrame macro="">
      <xdr:nvGraphicFramePr>
        <xdr:cNvPr id="2" name="Chart 1">
          <a:extLst>
            <a:ext uri="{FF2B5EF4-FFF2-40B4-BE49-F238E27FC236}">
              <a16:creationId xmlns:a16="http://schemas.microsoft.com/office/drawing/2014/main" id="{B4DC55DE-7BB3-C928-5DFB-7FD9592D5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241300</xdr:colOff>
      <xdr:row>3</xdr:row>
      <xdr:rowOff>31750</xdr:rowOff>
    </xdr:from>
    <xdr:to>
      <xdr:col>5</xdr:col>
      <xdr:colOff>241300</xdr:colOff>
      <xdr:row>16</xdr:row>
      <xdr:rowOff>161925</xdr:rowOff>
    </xdr:to>
    <mc:AlternateContent xmlns:mc="http://schemas.openxmlformats.org/markup-compatibility/2006" xmlns:a14="http://schemas.microsoft.com/office/drawing/2010/main">
      <mc:Choice Requires="a14">
        <xdr:graphicFrame macro="">
          <xdr:nvGraphicFramePr>
            <xdr:cNvPr id="5" name="Product 4">
              <a:extLst>
                <a:ext uri="{FF2B5EF4-FFF2-40B4-BE49-F238E27FC236}">
                  <a16:creationId xmlns:a16="http://schemas.microsoft.com/office/drawing/2014/main" id="{D664860E-4357-1FB3-162A-BECF32385096}"/>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2381250" y="584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7</xdr:row>
      <xdr:rowOff>82550</xdr:rowOff>
    </xdr:from>
    <xdr:to>
      <xdr:col>1</xdr:col>
      <xdr:colOff>1060450</xdr:colOff>
      <xdr:row>21</xdr:row>
      <xdr:rowOff>28575</xdr:rowOff>
    </xdr:to>
    <mc:AlternateContent xmlns:mc="http://schemas.openxmlformats.org/markup-compatibility/2006" xmlns:a14="http://schemas.microsoft.com/office/drawing/2010/main">
      <mc:Choice Requires="a14">
        <xdr:graphicFrame macro="">
          <xdr:nvGraphicFramePr>
            <xdr:cNvPr id="6" name="product category 2">
              <a:extLst>
                <a:ext uri="{FF2B5EF4-FFF2-40B4-BE49-F238E27FC236}">
                  <a16:creationId xmlns:a16="http://schemas.microsoft.com/office/drawing/2014/main" id="{27D7DDBE-9EA6-83BA-261A-E8B8A098EDA8}"/>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04800" y="137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101600</xdr:colOff>
      <xdr:row>1</xdr:row>
      <xdr:rowOff>57150</xdr:rowOff>
    </xdr:from>
    <xdr:to>
      <xdr:col>10</xdr:col>
      <xdr:colOff>400050</xdr:colOff>
      <xdr:row>14</xdr:row>
      <xdr:rowOff>120650</xdr:rowOff>
    </xdr:to>
    <xdr:graphicFrame macro="">
      <xdr:nvGraphicFramePr>
        <xdr:cNvPr id="2" name="Chart 1">
          <a:extLst>
            <a:ext uri="{FF2B5EF4-FFF2-40B4-BE49-F238E27FC236}">
              <a16:creationId xmlns:a16="http://schemas.microsoft.com/office/drawing/2014/main" id="{EB459F92-923A-3C03-1419-3E9307902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361950</xdr:colOff>
      <xdr:row>3</xdr:row>
      <xdr:rowOff>127000</xdr:rowOff>
    </xdr:from>
    <xdr:to>
      <xdr:col>17</xdr:col>
      <xdr:colOff>361950</xdr:colOff>
      <xdr:row>17</xdr:row>
      <xdr:rowOff>73025</xdr:rowOff>
    </xdr:to>
    <mc:AlternateContent xmlns:mc="http://schemas.openxmlformats.org/markup-compatibility/2006" xmlns:a14="http://schemas.microsoft.com/office/drawing/2010/main">
      <mc:Choice Requires="a14">
        <xdr:graphicFrame macro="">
          <xdr:nvGraphicFramePr>
            <xdr:cNvPr id="3" name="Ratingd 1">
              <a:extLst>
                <a:ext uri="{FF2B5EF4-FFF2-40B4-BE49-F238E27FC236}">
                  <a16:creationId xmlns:a16="http://schemas.microsoft.com/office/drawing/2014/main" id="{92799063-71C6-1827-13F9-CD46456ED83E}"/>
                </a:ext>
              </a:extLst>
            </xdr:cNvPr>
            <xdr:cNvGraphicFramePr/>
          </xdr:nvGraphicFramePr>
          <xdr:xfrm>
            <a:off x="0" y="0"/>
            <a:ext cx="0" cy="0"/>
          </xdr:xfrm>
          <a:graphic>
            <a:graphicData uri="http://schemas.microsoft.com/office/drawing/2010/slicer">
              <sle:slicer xmlns:sle="http://schemas.microsoft.com/office/drawing/2010/slicer" name="Ratingd 1"/>
            </a:graphicData>
          </a:graphic>
        </xdr:graphicFrame>
      </mc:Choice>
      <mc:Fallback xmlns="">
        <xdr:sp macro="" textlink="">
          <xdr:nvSpPr>
            <xdr:cNvPr id="0" name=""/>
            <xdr:cNvSpPr>
              <a:spLocks noTextEdit="1"/>
            </xdr:cNvSpPr>
          </xdr:nvSpPr>
          <xdr:spPr>
            <a:xfrm>
              <a:off x="9886950" y="67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2</xdr:row>
      <xdr:rowOff>57150</xdr:rowOff>
    </xdr:from>
    <xdr:to>
      <xdr:col>14</xdr:col>
      <xdr:colOff>266700</xdr:colOff>
      <xdr:row>16</xdr:row>
      <xdr:rowOff>3175</xdr:rowOff>
    </xdr:to>
    <mc:AlternateContent xmlns:mc="http://schemas.openxmlformats.org/markup-compatibility/2006" xmlns:a14="http://schemas.microsoft.com/office/drawing/2010/main">
      <mc:Choice Requires="a14">
        <xdr:graphicFrame macro="">
          <xdr:nvGraphicFramePr>
            <xdr:cNvPr id="4" name="discounts category">
              <a:extLst>
                <a:ext uri="{FF2B5EF4-FFF2-40B4-BE49-F238E27FC236}">
                  <a16:creationId xmlns:a16="http://schemas.microsoft.com/office/drawing/2014/main" id="{7294D4A5-4182-A1D2-9FE3-677C7E8675AB}"/>
                </a:ext>
              </a:extLst>
            </xdr:cNvPr>
            <xdr:cNvGraphicFramePr/>
          </xdr:nvGraphicFramePr>
          <xdr:xfrm>
            <a:off x="0" y="0"/>
            <a:ext cx="0" cy="0"/>
          </xdr:xfrm>
          <a:graphic>
            <a:graphicData uri="http://schemas.microsoft.com/office/drawing/2010/slicer">
              <sle:slicer xmlns:sle="http://schemas.microsoft.com/office/drawing/2010/slicer" name="discounts category"/>
            </a:graphicData>
          </a:graphic>
        </xdr:graphicFrame>
      </mc:Choice>
      <mc:Fallback xmlns="">
        <xdr:sp macro="" textlink="">
          <xdr:nvSpPr>
            <xdr:cNvPr id="0" name=""/>
            <xdr:cNvSpPr>
              <a:spLocks noTextEdit="1"/>
            </xdr:cNvSpPr>
          </xdr:nvSpPr>
          <xdr:spPr>
            <a:xfrm>
              <a:off x="7962900" y="425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146050</xdr:colOff>
      <xdr:row>1</xdr:row>
      <xdr:rowOff>31750</xdr:rowOff>
    </xdr:from>
    <xdr:to>
      <xdr:col>10</xdr:col>
      <xdr:colOff>450850</xdr:colOff>
      <xdr:row>13</xdr:row>
      <xdr:rowOff>171450</xdr:rowOff>
    </xdr:to>
    <xdr:graphicFrame macro="">
      <xdr:nvGraphicFramePr>
        <xdr:cNvPr id="2" name="Chart 1">
          <a:extLst>
            <a:ext uri="{FF2B5EF4-FFF2-40B4-BE49-F238E27FC236}">
              <a16:creationId xmlns:a16="http://schemas.microsoft.com/office/drawing/2014/main" id="{81FEC1B9-5F3F-9062-C3FA-D6717C654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762000</xdr:colOff>
      <xdr:row>8</xdr:row>
      <xdr:rowOff>31750</xdr:rowOff>
    </xdr:from>
    <xdr:to>
      <xdr:col>2</xdr:col>
      <xdr:colOff>603250</xdr:colOff>
      <xdr:row>21</xdr:row>
      <xdr:rowOff>161925</xdr:rowOff>
    </xdr:to>
    <mc:AlternateContent xmlns:mc="http://schemas.openxmlformats.org/markup-compatibility/2006" xmlns:a14="http://schemas.microsoft.com/office/drawing/2010/main">
      <mc:Choice Requires="a14">
        <xdr:graphicFrame macro="">
          <xdr:nvGraphicFramePr>
            <xdr:cNvPr id="3" name="Review">
              <a:extLst>
                <a:ext uri="{FF2B5EF4-FFF2-40B4-BE49-F238E27FC236}">
                  <a16:creationId xmlns:a16="http://schemas.microsoft.com/office/drawing/2014/main" id="{08A0E1B8-DC76-D094-0E5F-637A0D243700}"/>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762000" y="1504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311150</xdr:colOff>
      <xdr:row>0</xdr:row>
      <xdr:rowOff>101600</xdr:rowOff>
    </xdr:from>
    <xdr:to>
      <xdr:col>15</xdr:col>
      <xdr:colOff>311150</xdr:colOff>
      <xdr:row>14</xdr:row>
      <xdr:rowOff>47625</xdr:rowOff>
    </xdr:to>
    <mc:AlternateContent xmlns:mc="http://schemas.openxmlformats.org/markup-compatibility/2006" xmlns:a14="http://schemas.microsoft.com/office/drawing/2010/main">
      <mc:Choice Requires="a14">
        <xdr:graphicFrame macro="">
          <xdr:nvGraphicFramePr>
            <xdr:cNvPr id="4" name="discounts category 1">
              <a:extLst>
                <a:ext uri="{FF2B5EF4-FFF2-40B4-BE49-F238E27FC236}">
                  <a16:creationId xmlns:a16="http://schemas.microsoft.com/office/drawing/2014/main" id="{F7A07E4B-2CD0-3806-6647-F743556E5294}"/>
                </a:ext>
              </a:extLst>
            </xdr:cNvPr>
            <xdr:cNvGraphicFramePr/>
          </xdr:nvGraphicFramePr>
          <xdr:xfrm>
            <a:off x="0" y="0"/>
            <a:ext cx="0" cy="0"/>
          </xdr:xfrm>
          <a:graphic>
            <a:graphicData uri="http://schemas.microsoft.com/office/drawing/2010/slicer">
              <sle:slicer xmlns:sle="http://schemas.microsoft.com/office/drawing/2010/slicer" name="discounts category 1"/>
            </a:graphicData>
          </a:graphic>
        </xdr:graphicFrame>
      </mc:Choice>
      <mc:Fallback xmlns="">
        <xdr:sp macro="" textlink="">
          <xdr:nvSpPr>
            <xdr:cNvPr id="0" name=""/>
            <xdr:cNvSpPr>
              <a:spLocks noTextEdit="1"/>
            </xdr:cNvSpPr>
          </xdr:nvSpPr>
          <xdr:spPr>
            <a:xfrm>
              <a:off x="8394700" y="10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177800</xdr:colOff>
      <xdr:row>0</xdr:row>
      <xdr:rowOff>76200</xdr:rowOff>
    </xdr:from>
    <xdr:to>
      <xdr:col>11</xdr:col>
      <xdr:colOff>298450</xdr:colOff>
      <xdr:row>13</xdr:row>
      <xdr:rowOff>146050</xdr:rowOff>
    </xdr:to>
    <xdr:graphicFrame macro="">
      <xdr:nvGraphicFramePr>
        <xdr:cNvPr id="2" name="Chart 1">
          <a:extLst>
            <a:ext uri="{FF2B5EF4-FFF2-40B4-BE49-F238E27FC236}">
              <a16:creationId xmlns:a16="http://schemas.microsoft.com/office/drawing/2014/main" id="{02342372-659C-C924-24E2-F173906D9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596900</xdr:colOff>
      <xdr:row>1</xdr:row>
      <xdr:rowOff>12700</xdr:rowOff>
    </xdr:from>
    <xdr:to>
      <xdr:col>9</xdr:col>
      <xdr:colOff>12700</xdr:colOff>
      <xdr:row>12</xdr:row>
      <xdr:rowOff>146050</xdr:rowOff>
    </xdr:to>
    <xdr:graphicFrame macro="">
      <xdr:nvGraphicFramePr>
        <xdr:cNvPr id="2" name="Chart 1">
          <a:extLst>
            <a:ext uri="{FF2B5EF4-FFF2-40B4-BE49-F238E27FC236}">
              <a16:creationId xmlns:a16="http://schemas.microsoft.com/office/drawing/2014/main" id="{F7DCC46A-502C-BDAE-759B-5C8F0857D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338666</xdr:colOff>
      <xdr:row>0</xdr:row>
      <xdr:rowOff>158044</xdr:rowOff>
    </xdr:from>
    <xdr:to>
      <xdr:col>18</xdr:col>
      <xdr:colOff>324556</xdr:colOff>
      <xdr:row>3</xdr:row>
      <xdr:rowOff>138994</xdr:rowOff>
    </xdr:to>
    <xdr:sp macro="" textlink="">
      <xdr:nvSpPr>
        <xdr:cNvPr id="4" name="Rectangle: Rounded Corners 3">
          <a:extLst>
            <a:ext uri="{FF2B5EF4-FFF2-40B4-BE49-F238E27FC236}">
              <a16:creationId xmlns:a16="http://schemas.microsoft.com/office/drawing/2014/main" id="{AB0B657B-F353-4046-79B8-8197FAA509B5}"/>
            </a:ext>
          </a:extLst>
        </xdr:cNvPr>
        <xdr:cNvSpPr/>
      </xdr:nvSpPr>
      <xdr:spPr>
        <a:xfrm>
          <a:off x="5192888" y="158044"/>
          <a:ext cx="6053668" cy="531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cap="none" spc="0">
              <a:ln w="0"/>
              <a:solidFill>
                <a:schemeClr val="tx1"/>
              </a:solidFill>
              <a:effectLst>
                <a:outerShdw blurRad="38100" dist="19050" dir="2700000" algn="tl" rotWithShape="0">
                  <a:schemeClr val="dk1">
                    <a:alpha val="40000"/>
                  </a:schemeClr>
                </a:outerShdw>
              </a:effectLst>
            </a:rPr>
            <a:t>JUMIA PRODUCTS</a:t>
          </a:r>
          <a:r>
            <a:rPr lang="en-US" sz="2400" b="0" cap="none" spc="0" baseline="0">
              <a:ln w="0"/>
              <a:solidFill>
                <a:schemeClr val="tx1"/>
              </a:solidFill>
              <a:effectLst>
                <a:outerShdw blurRad="38100" dist="19050" dir="2700000" algn="tl" rotWithShape="0">
                  <a:schemeClr val="dk1">
                    <a:alpha val="40000"/>
                  </a:schemeClr>
                </a:outerShdw>
              </a:effectLst>
            </a:rPr>
            <a:t> INTERACTIVE</a:t>
          </a:r>
          <a:r>
            <a:rPr lang="en-US" sz="2400" b="0" cap="none" spc="0">
              <a:ln w="0"/>
              <a:solidFill>
                <a:schemeClr val="tx1"/>
              </a:solidFill>
              <a:effectLst>
                <a:outerShdw blurRad="38100" dist="19050" dir="2700000" algn="tl" rotWithShape="0">
                  <a:schemeClr val="dk1">
                    <a:alpha val="40000"/>
                  </a:schemeClr>
                </a:outerShdw>
              </a:effectLst>
            </a:rPr>
            <a:t> DASHBOARD</a:t>
          </a:r>
        </a:p>
      </xdr:txBody>
    </xdr:sp>
    <xdr:clientData/>
  </xdr:twoCellAnchor>
  <xdr:twoCellAnchor>
    <xdr:from>
      <xdr:col>5</xdr:col>
      <xdr:colOff>438855</xdr:colOff>
      <xdr:row>4</xdr:row>
      <xdr:rowOff>71262</xdr:rowOff>
    </xdr:from>
    <xdr:to>
      <xdr:col>8</xdr:col>
      <xdr:colOff>203905</xdr:colOff>
      <xdr:row>6</xdr:row>
      <xdr:rowOff>58562</xdr:rowOff>
    </xdr:to>
    <xdr:sp macro="" textlink="">
      <xdr:nvSpPr>
        <xdr:cNvPr id="5" name="Rectangle: Rounded Corners 4">
          <a:extLst>
            <a:ext uri="{FF2B5EF4-FFF2-40B4-BE49-F238E27FC236}">
              <a16:creationId xmlns:a16="http://schemas.microsoft.com/office/drawing/2014/main" id="{A35BC738-ECD6-B0DC-B48E-7B2ECD287EDE}"/>
            </a:ext>
          </a:extLst>
        </xdr:cNvPr>
        <xdr:cNvSpPr/>
      </xdr:nvSpPr>
      <xdr:spPr>
        <a:xfrm>
          <a:off x="3472744" y="805040"/>
          <a:ext cx="1585383" cy="3541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Total products  = 115</a:t>
          </a:r>
        </a:p>
      </xdr:txBody>
    </xdr:sp>
    <xdr:clientData/>
  </xdr:twoCellAnchor>
  <xdr:twoCellAnchor>
    <xdr:from>
      <xdr:col>9</xdr:col>
      <xdr:colOff>55738</xdr:colOff>
      <xdr:row>4</xdr:row>
      <xdr:rowOff>86784</xdr:rowOff>
    </xdr:from>
    <xdr:to>
      <xdr:col>11</xdr:col>
      <xdr:colOff>383116</xdr:colOff>
      <xdr:row>6</xdr:row>
      <xdr:rowOff>86784</xdr:rowOff>
    </xdr:to>
    <xdr:sp macro="" textlink="">
      <xdr:nvSpPr>
        <xdr:cNvPr id="6" name="Rectangle: Rounded Corners 5">
          <a:extLst>
            <a:ext uri="{FF2B5EF4-FFF2-40B4-BE49-F238E27FC236}">
              <a16:creationId xmlns:a16="http://schemas.microsoft.com/office/drawing/2014/main" id="{EBB8D357-ACF6-985B-5A17-9EE77F9285FF}"/>
            </a:ext>
          </a:extLst>
        </xdr:cNvPr>
        <xdr:cNvSpPr/>
      </xdr:nvSpPr>
      <xdr:spPr>
        <a:xfrm>
          <a:off x="5516738" y="820562"/>
          <a:ext cx="1540934" cy="3668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rating = 3.9</a:t>
          </a:r>
        </a:p>
      </xdr:txBody>
    </xdr:sp>
    <xdr:clientData/>
  </xdr:twoCellAnchor>
  <xdr:twoCellAnchor>
    <xdr:from>
      <xdr:col>12</xdr:col>
      <xdr:colOff>134057</xdr:colOff>
      <xdr:row>4</xdr:row>
      <xdr:rowOff>52211</xdr:rowOff>
    </xdr:from>
    <xdr:to>
      <xdr:col>15</xdr:col>
      <xdr:colOff>601134</xdr:colOff>
      <xdr:row>6</xdr:row>
      <xdr:rowOff>77611</xdr:rowOff>
    </xdr:to>
    <xdr:sp macro="" textlink="">
      <xdr:nvSpPr>
        <xdr:cNvPr id="7" name="Rectangle: Rounded Corners 6">
          <a:extLst>
            <a:ext uri="{FF2B5EF4-FFF2-40B4-BE49-F238E27FC236}">
              <a16:creationId xmlns:a16="http://schemas.microsoft.com/office/drawing/2014/main" id="{888769E1-5B18-039B-FCA6-54630785EA2E}"/>
            </a:ext>
          </a:extLst>
        </xdr:cNvPr>
        <xdr:cNvSpPr/>
      </xdr:nvSpPr>
      <xdr:spPr>
        <a:xfrm>
          <a:off x="7415390" y="785989"/>
          <a:ext cx="2287411" cy="3922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discount percentage = 37%</a:t>
          </a:r>
        </a:p>
      </xdr:txBody>
    </xdr:sp>
    <xdr:clientData/>
  </xdr:twoCellAnchor>
  <xdr:twoCellAnchor>
    <xdr:from>
      <xdr:col>16</xdr:col>
      <xdr:colOff>407811</xdr:colOff>
      <xdr:row>4</xdr:row>
      <xdr:rowOff>87489</xdr:rowOff>
    </xdr:from>
    <xdr:to>
      <xdr:col>18</xdr:col>
      <xdr:colOff>579260</xdr:colOff>
      <xdr:row>6</xdr:row>
      <xdr:rowOff>106539</xdr:rowOff>
    </xdr:to>
    <xdr:sp macro="" textlink="">
      <xdr:nvSpPr>
        <xdr:cNvPr id="8" name="Rectangle: Rounded Corners 7">
          <a:extLst>
            <a:ext uri="{FF2B5EF4-FFF2-40B4-BE49-F238E27FC236}">
              <a16:creationId xmlns:a16="http://schemas.microsoft.com/office/drawing/2014/main" id="{FCFE8B9E-0CF3-ACB6-6F05-9665680536D0}"/>
            </a:ext>
          </a:extLst>
        </xdr:cNvPr>
        <xdr:cNvSpPr/>
      </xdr:nvSpPr>
      <xdr:spPr>
        <a:xfrm>
          <a:off x="10116255" y="821267"/>
          <a:ext cx="1385005" cy="3859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Total reviews = 723</a:t>
          </a:r>
        </a:p>
      </xdr:txBody>
    </xdr:sp>
    <xdr:clientData/>
  </xdr:twoCellAnchor>
  <xdr:twoCellAnchor>
    <xdr:from>
      <xdr:col>1</xdr:col>
      <xdr:colOff>282223</xdr:colOff>
      <xdr:row>4</xdr:row>
      <xdr:rowOff>63502</xdr:rowOff>
    </xdr:from>
    <xdr:to>
      <xdr:col>4</xdr:col>
      <xdr:colOff>472722</xdr:colOff>
      <xdr:row>6</xdr:row>
      <xdr:rowOff>63501</xdr:rowOff>
    </xdr:to>
    <xdr:sp macro="" textlink="">
      <xdr:nvSpPr>
        <xdr:cNvPr id="3" name="Rectangle: Rounded Corners 2">
          <a:extLst>
            <a:ext uri="{FF2B5EF4-FFF2-40B4-BE49-F238E27FC236}">
              <a16:creationId xmlns:a16="http://schemas.microsoft.com/office/drawing/2014/main" id="{1279F15C-49E6-1378-1E62-ECFE99C5E205}"/>
            </a:ext>
          </a:extLst>
        </xdr:cNvPr>
        <xdr:cNvSpPr/>
      </xdr:nvSpPr>
      <xdr:spPr>
        <a:xfrm>
          <a:off x="889001" y="797280"/>
          <a:ext cx="2010832" cy="3668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current price=1174.36</a:t>
          </a:r>
        </a:p>
      </xdr:txBody>
    </xdr:sp>
    <xdr:clientData/>
  </xdr:twoCellAnchor>
  <xdr:twoCellAnchor>
    <xdr:from>
      <xdr:col>19</xdr:col>
      <xdr:colOff>430389</xdr:colOff>
      <xdr:row>4</xdr:row>
      <xdr:rowOff>42333</xdr:rowOff>
    </xdr:from>
    <xdr:to>
      <xdr:col>23</xdr:col>
      <xdr:colOff>49390</xdr:colOff>
      <xdr:row>6</xdr:row>
      <xdr:rowOff>98778</xdr:rowOff>
    </xdr:to>
    <xdr:sp macro="" textlink="">
      <xdr:nvSpPr>
        <xdr:cNvPr id="9" name="Rectangle: Rounded Corners 8">
          <a:extLst>
            <a:ext uri="{FF2B5EF4-FFF2-40B4-BE49-F238E27FC236}">
              <a16:creationId xmlns:a16="http://schemas.microsoft.com/office/drawing/2014/main" id="{947FE1B9-BFC4-5182-3820-E23FBD26C049}"/>
            </a:ext>
          </a:extLst>
        </xdr:cNvPr>
        <xdr:cNvSpPr/>
      </xdr:nvSpPr>
      <xdr:spPr>
        <a:xfrm>
          <a:off x="11959167" y="776111"/>
          <a:ext cx="2046112" cy="4233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Average old price=1797.07</a:t>
          </a:r>
        </a:p>
      </xdr:txBody>
    </xdr:sp>
    <xdr:clientData/>
  </xdr:twoCellAnchor>
  <xdr:twoCellAnchor>
    <xdr:from>
      <xdr:col>4</xdr:col>
      <xdr:colOff>105833</xdr:colOff>
      <xdr:row>6</xdr:row>
      <xdr:rowOff>148166</xdr:rowOff>
    </xdr:from>
    <xdr:to>
      <xdr:col>13</xdr:col>
      <xdr:colOff>261056</xdr:colOff>
      <xdr:row>19</xdr:row>
      <xdr:rowOff>98778</xdr:rowOff>
    </xdr:to>
    <xdr:graphicFrame macro="">
      <xdr:nvGraphicFramePr>
        <xdr:cNvPr id="15" name="Chart 14">
          <a:extLst>
            <a:ext uri="{FF2B5EF4-FFF2-40B4-BE49-F238E27FC236}">
              <a16:creationId xmlns:a16="http://schemas.microsoft.com/office/drawing/2014/main" id="{3D6504E7-C2E3-4CC0-9C73-E874950A6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416278</xdr:colOff>
      <xdr:row>20</xdr:row>
      <xdr:rowOff>2</xdr:rowOff>
    </xdr:from>
    <xdr:to>
      <xdr:col>23</xdr:col>
      <xdr:colOff>218721</xdr:colOff>
      <xdr:row>33</xdr:row>
      <xdr:rowOff>162279</xdr:rowOff>
    </xdr:to>
    <xdr:graphicFrame macro="">
      <xdr:nvGraphicFramePr>
        <xdr:cNvPr id="17" name="Chart 16">
          <a:extLst>
            <a:ext uri="{FF2B5EF4-FFF2-40B4-BE49-F238E27FC236}">
              <a16:creationId xmlns:a16="http://schemas.microsoft.com/office/drawing/2014/main" id="{008180AD-DDF2-4858-970B-A9A08A498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6</xdr:row>
      <xdr:rowOff>183443</xdr:rowOff>
    </xdr:from>
    <xdr:to>
      <xdr:col>23</xdr:col>
      <xdr:colOff>204611</xdr:colOff>
      <xdr:row>19</xdr:row>
      <xdr:rowOff>112889</xdr:rowOff>
    </xdr:to>
    <xdr:graphicFrame macro="">
      <xdr:nvGraphicFramePr>
        <xdr:cNvPr id="19" name="Chart 18">
          <a:extLst>
            <a:ext uri="{FF2B5EF4-FFF2-40B4-BE49-F238E27FC236}">
              <a16:creationId xmlns:a16="http://schemas.microsoft.com/office/drawing/2014/main" id="{012F72CF-A54F-4C0E-B0F4-FE5C7B9A9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35278</xdr:colOff>
      <xdr:row>6</xdr:row>
      <xdr:rowOff>134057</xdr:rowOff>
    </xdr:from>
    <xdr:to>
      <xdr:col>4</xdr:col>
      <xdr:colOff>43745</xdr:colOff>
      <xdr:row>20</xdr:row>
      <xdr:rowOff>89960</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2F69B18E-E349-4A4D-AEB5-2EF11895D98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42056" y="12347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84666</xdr:colOff>
      <xdr:row>19</xdr:row>
      <xdr:rowOff>169334</xdr:rowOff>
    </xdr:from>
    <xdr:to>
      <xdr:col>13</xdr:col>
      <xdr:colOff>289278</xdr:colOff>
      <xdr:row>33</xdr:row>
      <xdr:rowOff>91722</xdr:rowOff>
    </xdr:to>
    <xdr:graphicFrame macro="">
      <xdr:nvGraphicFramePr>
        <xdr:cNvPr id="23" name="Chart 22">
          <a:extLst>
            <a:ext uri="{FF2B5EF4-FFF2-40B4-BE49-F238E27FC236}">
              <a16:creationId xmlns:a16="http://schemas.microsoft.com/office/drawing/2014/main" id="{7A091731-2CC1-4E75-846C-CC1593059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20</xdr:row>
      <xdr:rowOff>127000</xdr:rowOff>
    </xdr:from>
    <xdr:to>
      <xdr:col>4</xdr:col>
      <xdr:colOff>8467</xdr:colOff>
      <xdr:row>33</xdr:row>
      <xdr:rowOff>134056</xdr:rowOff>
    </xdr:to>
    <mc:AlternateContent xmlns:mc="http://schemas.openxmlformats.org/markup-compatibility/2006" xmlns:a14="http://schemas.microsoft.com/office/drawing/2010/main">
      <mc:Choice Requires="a14">
        <xdr:graphicFrame macro="">
          <xdr:nvGraphicFramePr>
            <xdr:cNvPr id="24" name="Discount2 3">
              <a:extLst>
                <a:ext uri="{FF2B5EF4-FFF2-40B4-BE49-F238E27FC236}">
                  <a16:creationId xmlns:a16="http://schemas.microsoft.com/office/drawing/2014/main" id="{62D6C612-BDE1-42E6-9C68-1ECF0E95B2A7}"/>
                </a:ext>
              </a:extLst>
            </xdr:cNvPr>
            <xdr:cNvGraphicFramePr/>
          </xdr:nvGraphicFramePr>
          <xdr:xfrm>
            <a:off x="0" y="0"/>
            <a:ext cx="0" cy="0"/>
          </xdr:xfrm>
          <a:graphic>
            <a:graphicData uri="http://schemas.microsoft.com/office/drawing/2010/slicer">
              <sle:slicer xmlns:sle="http://schemas.microsoft.com/office/drawing/2010/slicer" name="Discount2 3"/>
            </a:graphicData>
          </a:graphic>
        </xdr:graphicFrame>
      </mc:Choice>
      <mc:Fallback xmlns="">
        <xdr:sp macro="" textlink="">
          <xdr:nvSpPr>
            <xdr:cNvPr id="0" name=""/>
            <xdr:cNvSpPr>
              <a:spLocks noTextEdit="1"/>
            </xdr:cNvSpPr>
          </xdr:nvSpPr>
          <xdr:spPr>
            <a:xfrm>
              <a:off x="606778" y="3795889"/>
              <a:ext cx="1828800" cy="2391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112890</xdr:colOff>
      <xdr:row>34</xdr:row>
      <xdr:rowOff>21166</xdr:rowOff>
    </xdr:from>
    <xdr:to>
      <xdr:col>10</xdr:col>
      <xdr:colOff>437444</xdr:colOff>
      <xdr:row>47</xdr:row>
      <xdr:rowOff>23988</xdr:rowOff>
    </xdr:to>
    <xdr:graphicFrame macro="">
      <xdr:nvGraphicFramePr>
        <xdr:cNvPr id="25" name="Chart 24">
          <a:extLst>
            <a:ext uri="{FF2B5EF4-FFF2-40B4-BE49-F238E27FC236}">
              <a16:creationId xmlns:a16="http://schemas.microsoft.com/office/drawing/2014/main" id="{FE48C844-4FAE-4135-B593-6B3371861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35278</xdr:colOff>
      <xdr:row>34</xdr:row>
      <xdr:rowOff>0</xdr:rowOff>
    </xdr:from>
    <xdr:to>
      <xdr:col>4</xdr:col>
      <xdr:colOff>43745</xdr:colOff>
      <xdr:row>46</xdr:row>
      <xdr:rowOff>141112</xdr:rowOff>
    </xdr:to>
    <mc:AlternateContent xmlns:mc="http://schemas.openxmlformats.org/markup-compatibility/2006" xmlns:a14="http://schemas.microsoft.com/office/drawing/2010/main">
      <mc:Choice Requires="a14">
        <xdr:graphicFrame macro="">
          <xdr:nvGraphicFramePr>
            <xdr:cNvPr id="26" name="Ratingd 3">
              <a:extLst>
                <a:ext uri="{FF2B5EF4-FFF2-40B4-BE49-F238E27FC236}">
                  <a16:creationId xmlns:a16="http://schemas.microsoft.com/office/drawing/2014/main" id="{E6AD57C4-D593-4FBB-A7AE-4E4A0E8704A6}"/>
                </a:ext>
              </a:extLst>
            </xdr:cNvPr>
            <xdr:cNvGraphicFramePr/>
          </xdr:nvGraphicFramePr>
          <xdr:xfrm>
            <a:off x="0" y="0"/>
            <a:ext cx="0" cy="0"/>
          </xdr:xfrm>
          <a:graphic>
            <a:graphicData uri="http://schemas.microsoft.com/office/drawing/2010/slicer">
              <sle:slicer xmlns:sle="http://schemas.microsoft.com/office/drawing/2010/slicer" name="Ratingd 3"/>
            </a:graphicData>
          </a:graphic>
        </xdr:graphicFrame>
      </mc:Choice>
      <mc:Fallback xmlns="">
        <xdr:sp macro="" textlink="">
          <xdr:nvSpPr>
            <xdr:cNvPr id="0" name=""/>
            <xdr:cNvSpPr>
              <a:spLocks noTextEdit="1"/>
            </xdr:cNvSpPr>
          </xdr:nvSpPr>
          <xdr:spPr>
            <a:xfrm>
              <a:off x="642056" y="6237111"/>
              <a:ext cx="1828800" cy="2342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21167</xdr:colOff>
      <xdr:row>47</xdr:row>
      <xdr:rowOff>35278</xdr:rowOff>
    </xdr:from>
    <xdr:to>
      <xdr:col>23</xdr:col>
      <xdr:colOff>246945</xdr:colOff>
      <xdr:row>60</xdr:row>
      <xdr:rowOff>127000</xdr:rowOff>
    </xdr:to>
    <xdr:graphicFrame macro="">
      <xdr:nvGraphicFramePr>
        <xdr:cNvPr id="28" name="Chart 27">
          <a:extLst>
            <a:ext uri="{FF2B5EF4-FFF2-40B4-BE49-F238E27FC236}">
              <a16:creationId xmlns:a16="http://schemas.microsoft.com/office/drawing/2014/main" id="{BCCE956A-1150-4D4F-9838-B627578D4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190499</xdr:colOff>
      <xdr:row>47</xdr:row>
      <xdr:rowOff>49388</xdr:rowOff>
    </xdr:from>
    <xdr:to>
      <xdr:col>13</xdr:col>
      <xdr:colOff>388056</xdr:colOff>
      <xdr:row>60</xdr:row>
      <xdr:rowOff>127000</xdr:rowOff>
    </xdr:to>
    <xdr:graphicFrame macro="">
      <xdr:nvGraphicFramePr>
        <xdr:cNvPr id="29" name="Chart 28">
          <a:extLst>
            <a:ext uri="{FF2B5EF4-FFF2-40B4-BE49-F238E27FC236}">
              <a16:creationId xmlns:a16="http://schemas.microsoft.com/office/drawing/2014/main" id="{F232AC47-5253-4AF7-8A76-DBE3B0BE1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197556</xdr:colOff>
      <xdr:row>61</xdr:row>
      <xdr:rowOff>14112</xdr:rowOff>
    </xdr:from>
    <xdr:to>
      <xdr:col>13</xdr:col>
      <xdr:colOff>380999</xdr:colOff>
      <xdr:row>75</xdr:row>
      <xdr:rowOff>127000</xdr:rowOff>
    </xdr:to>
    <xdr:graphicFrame macro="">
      <xdr:nvGraphicFramePr>
        <xdr:cNvPr id="32" name="Chart 31">
          <a:extLst>
            <a:ext uri="{FF2B5EF4-FFF2-40B4-BE49-F238E27FC236}">
              <a16:creationId xmlns:a16="http://schemas.microsoft.com/office/drawing/2014/main" id="{D24766C0-C5F3-42E6-A32E-347EA1ACE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xdr:colOff>
      <xdr:row>61</xdr:row>
      <xdr:rowOff>84668</xdr:rowOff>
    </xdr:from>
    <xdr:to>
      <xdr:col>23</xdr:col>
      <xdr:colOff>211667</xdr:colOff>
      <xdr:row>75</xdr:row>
      <xdr:rowOff>127000</xdr:rowOff>
    </xdr:to>
    <xdr:graphicFrame macro="">
      <xdr:nvGraphicFramePr>
        <xdr:cNvPr id="33" name="Chart 32">
          <a:extLst>
            <a:ext uri="{FF2B5EF4-FFF2-40B4-BE49-F238E27FC236}">
              <a16:creationId xmlns:a16="http://schemas.microsoft.com/office/drawing/2014/main" id="{6128EA5F-0E79-4EA6-B05F-A8E8FFC89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508001</xdr:colOff>
      <xdr:row>34</xdr:row>
      <xdr:rowOff>35279</xdr:rowOff>
    </xdr:from>
    <xdr:to>
      <xdr:col>17</xdr:col>
      <xdr:colOff>70556</xdr:colOff>
      <xdr:row>46</xdr:row>
      <xdr:rowOff>127001</xdr:rowOff>
    </xdr:to>
    <xdr:graphicFrame macro="">
      <xdr:nvGraphicFramePr>
        <xdr:cNvPr id="36" name="Chart 35">
          <a:extLst>
            <a:ext uri="{FF2B5EF4-FFF2-40B4-BE49-F238E27FC236}">
              <a16:creationId xmlns:a16="http://schemas.microsoft.com/office/drawing/2014/main" id="{EA5A047A-E491-4E44-871A-0F7F7E95B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134057</xdr:colOff>
      <xdr:row>34</xdr:row>
      <xdr:rowOff>35278</xdr:rowOff>
    </xdr:from>
    <xdr:to>
      <xdr:col>23</xdr:col>
      <xdr:colOff>232834</xdr:colOff>
      <xdr:row>46</xdr:row>
      <xdr:rowOff>141111</xdr:rowOff>
    </xdr:to>
    <xdr:graphicFrame macro="">
      <xdr:nvGraphicFramePr>
        <xdr:cNvPr id="37" name="Chart 36">
          <a:extLst>
            <a:ext uri="{FF2B5EF4-FFF2-40B4-BE49-F238E27FC236}">
              <a16:creationId xmlns:a16="http://schemas.microsoft.com/office/drawing/2014/main" id="{C516F431-D2DC-4AE7-9579-066FAFEBA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493889</xdr:colOff>
      <xdr:row>47</xdr:row>
      <xdr:rowOff>56445</xdr:rowOff>
    </xdr:from>
    <xdr:to>
      <xdr:col>4</xdr:col>
      <xdr:colOff>70556</xdr:colOff>
      <xdr:row>60</xdr:row>
      <xdr:rowOff>176389</xdr:rowOff>
    </xdr:to>
    <mc:AlternateContent xmlns:mc="http://schemas.openxmlformats.org/markup-compatibility/2006" xmlns:a14="http://schemas.microsoft.com/office/drawing/2010/main">
      <mc:Choice Requires="a14">
        <xdr:graphicFrame macro="">
          <xdr:nvGraphicFramePr>
            <xdr:cNvPr id="38" name="discount 1">
              <a:extLst>
                <a:ext uri="{FF2B5EF4-FFF2-40B4-BE49-F238E27FC236}">
                  <a16:creationId xmlns:a16="http://schemas.microsoft.com/office/drawing/2014/main" id="{E70657BA-4DDE-4D29-A110-5F05D779EF6F}"/>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493889" y="8678334"/>
              <a:ext cx="2003778" cy="2504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49388</xdr:colOff>
      <xdr:row>2</xdr:row>
      <xdr:rowOff>105833</xdr:rowOff>
    </xdr:from>
    <xdr:ext cx="184731" cy="264560"/>
    <xdr:sp macro="" textlink="">
      <xdr:nvSpPr>
        <xdr:cNvPr id="2" name="TextBox 1">
          <a:extLst>
            <a:ext uri="{FF2B5EF4-FFF2-40B4-BE49-F238E27FC236}">
              <a16:creationId xmlns:a16="http://schemas.microsoft.com/office/drawing/2014/main" id="{D2B2481F-1A1C-1CD3-57DE-9D6EBD764419}"/>
            </a:ext>
          </a:extLst>
        </xdr:cNvPr>
        <xdr:cNvSpPr txBox="1"/>
      </xdr:nvSpPr>
      <xdr:spPr>
        <a:xfrm>
          <a:off x="6723944" y="4727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2</xdr:col>
      <xdr:colOff>492125</xdr:colOff>
      <xdr:row>0</xdr:row>
      <xdr:rowOff>177800</xdr:rowOff>
    </xdr:from>
    <xdr:to>
      <xdr:col>10</xdr:col>
      <xdr:colOff>187325</xdr:colOff>
      <xdr:row>15</xdr:row>
      <xdr:rowOff>82550</xdr:rowOff>
    </xdr:to>
    <xdr:graphicFrame macro="">
      <xdr:nvGraphicFramePr>
        <xdr:cNvPr id="3" name="Chart 2">
          <a:extLst>
            <a:ext uri="{FF2B5EF4-FFF2-40B4-BE49-F238E27FC236}">
              <a16:creationId xmlns:a16="http://schemas.microsoft.com/office/drawing/2014/main" id="{C42D0E4C-47A1-B650-3F40-9CA18558B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438150</xdr:colOff>
      <xdr:row>8</xdr:row>
      <xdr:rowOff>120650</xdr:rowOff>
    </xdr:from>
    <xdr:to>
      <xdr:col>8</xdr:col>
      <xdr:colOff>438150</xdr:colOff>
      <xdr:row>22</xdr:row>
      <xdr:rowOff>66675</xdr:rowOff>
    </xdr:to>
    <mc:AlternateContent xmlns:mc="http://schemas.openxmlformats.org/markup-compatibility/2006" xmlns:a14="http://schemas.microsoft.com/office/drawing/2010/main">
      <mc:Choice Requires="a14">
        <xdr:graphicFrame macro="">
          <xdr:nvGraphicFramePr>
            <xdr:cNvPr id="2" name="Product 2">
              <a:extLst>
                <a:ext uri="{FF2B5EF4-FFF2-40B4-BE49-F238E27FC236}">
                  <a16:creationId xmlns:a16="http://schemas.microsoft.com/office/drawing/2014/main" id="{68FE6D7B-09DA-E370-6B19-019D3601D96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715250" y="159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5</xdr:col>
      <xdr:colOff>92075</xdr:colOff>
      <xdr:row>0</xdr:row>
      <xdr:rowOff>114300</xdr:rowOff>
    </xdr:from>
    <xdr:to>
      <xdr:col>12</xdr:col>
      <xdr:colOff>349250</xdr:colOff>
      <xdr:row>14</xdr:row>
      <xdr:rowOff>12700</xdr:rowOff>
    </xdr:to>
    <xdr:graphicFrame macro="">
      <xdr:nvGraphicFramePr>
        <xdr:cNvPr id="3" name="Chart 2">
          <a:extLst>
            <a:ext uri="{FF2B5EF4-FFF2-40B4-BE49-F238E27FC236}">
              <a16:creationId xmlns:a16="http://schemas.microsoft.com/office/drawing/2014/main" id="{A9740D3E-3144-52F1-B4D8-5C81216F5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311150</xdr:colOff>
      <xdr:row>8</xdr:row>
      <xdr:rowOff>127000</xdr:rowOff>
    </xdr:from>
    <xdr:to>
      <xdr:col>10</xdr:col>
      <xdr:colOff>311150</xdr:colOff>
      <xdr:row>22</xdr:row>
      <xdr:rowOff>73025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37905D11-0842-C7B2-ADD9-BB0EFEF6D77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566150" y="160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xdr:colOff>
      <xdr:row>4</xdr:row>
      <xdr:rowOff>177800</xdr:rowOff>
    </xdr:from>
    <xdr:to>
      <xdr:col>11</xdr:col>
      <xdr:colOff>50800</xdr:colOff>
      <xdr:row>18</xdr:row>
      <xdr:rowOff>123825</xdr:rowOff>
    </xdr:to>
    <mc:AlternateContent xmlns:mc="http://schemas.openxmlformats.org/markup-compatibility/2006">
      <mc:Choice xmlns:a14="http://schemas.microsoft.com/office/drawing/2010/main" Requires="a14">
        <xdr:graphicFrame macro="">
          <xdr:nvGraphicFramePr>
            <xdr:cNvPr id="4" name="Discount2">
              <a:extLst>
                <a:ext uri="{FF2B5EF4-FFF2-40B4-BE49-F238E27FC236}">
                  <a16:creationId xmlns:a16="http://schemas.microsoft.com/office/drawing/2014/main" id="{0010AFA0-2D70-C679-BB2E-6BBE5A264369}"/>
                </a:ext>
              </a:extLst>
            </xdr:cNvPr>
            <xdr:cNvGraphicFramePr/>
          </xdr:nvGraphicFramePr>
          <xdr:xfrm>
            <a:off x="0" y="0"/>
            <a:ext cx="0" cy="0"/>
          </xdr:xfrm>
          <a:graphic>
            <a:graphicData uri="http://schemas.microsoft.com/office/drawing/2010/slicer">
              <sle:slicer xmlns:sle="http://schemas.microsoft.com/office/drawing/2010/slicer" name="Discount2"/>
            </a:graphicData>
          </a:graphic>
        </xdr:graphicFrame>
      </mc:Choice>
      <mc:Fallback>
        <xdr:sp macro="" textlink="">
          <xdr:nvSpPr>
            <xdr:cNvPr id="0" name=""/>
            <xdr:cNvSpPr>
              <a:spLocks noTextEdit="1"/>
            </xdr:cNvSpPr>
          </xdr:nvSpPr>
          <xdr:spPr>
            <a:xfrm>
              <a:off x="8915400" y="914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177800</xdr:colOff>
      <xdr:row>0</xdr:row>
      <xdr:rowOff>19050</xdr:rowOff>
    </xdr:from>
    <xdr:to>
      <xdr:col>11</xdr:col>
      <xdr:colOff>177800</xdr:colOff>
      <xdr:row>13</xdr:row>
      <xdr:rowOff>149225</xdr:rowOff>
    </xdr:to>
    <mc:AlternateContent xmlns:mc="http://schemas.openxmlformats.org/markup-compatibility/2006" xmlns:a14="http://schemas.microsoft.com/office/drawing/2010/main">
      <mc:Choice Requires="a14">
        <xdr:graphicFrame macro="">
          <xdr:nvGraphicFramePr>
            <xdr:cNvPr id="5" name="Ratingd">
              <a:extLst>
                <a:ext uri="{FF2B5EF4-FFF2-40B4-BE49-F238E27FC236}">
                  <a16:creationId xmlns:a16="http://schemas.microsoft.com/office/drawing/2014/main" id="{0DDC00BF-210A-13C5-FA3F-0A928496DA8D}"/>
                </a:ext>
              </a:extLst>
            </xdr:cNvPr>
            <xdr:cNvGraphicFramePr/>
          </xdr:nvGraphicFramePr>
          <xdr:xfrm>
            <a:off x="0" y="0"/>
            <a:ext cx="0" cy="0"/>
          </xdr:xfrm>
          <a:graphic>
            <a:graphicData uri="http://schemas.microsoft.com/office/drawing/2010/slicer">
              <sle:slicer xmlns:sle="http://schemas.microsoft.com/office/drawing/2010/slicer" name="Ratingd"/>
            </a:graphicData>
          </a:graphic>
        </xdr:graphicFrame>
      </mc:Choice>
      <mc:Fallback xmlns="">
        <xdr:sp macro="" textlink="">
          <xdr:nvSpPr>
            <xdr:cNvPr id="0" name=""/>
            <xdr:cNvSpPr>
              <a:spLocks noTextEdit="1"/>
            </xdr:cNvSpPr>
          </xdr:nvSpPr>
          <xdr:spPr>
            <a:xfrm>
              <a:off x="9042400"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257175</xdr:colOff>
      <xdr:row>3</xdr:row>
      <xdr:rowOff>82550</xdr:rowOff>
    </xdr:from>
    <xdr:to>
      <xdr:col>9</xdr:col>
      <xdr:colOff>561975</xdr:colOff>
      <xdr:row>18</xdr:row>
      <xdr:rowOff>0</xdr:rowOff>
    </xdr:to>
    <xdr:graphicFrame macro="">
      <xdr:nvGraphicFramePr>
        <xdr:cNvPr id="2" name="Chart 1">
          <a:extLst>
            <a:ext uri="{FF2B5EF4-FFF2-40B4-BE49-F238E27FC236}">
              <a16:creationId xmlns:a16="http://schemas.microsoft.com/office/drawing/2014/main" id="{75332BF9-AF31-AC74-3DBA-62CCA3C51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304800</xdr:colOff>
      <xdr:row>7</xdr:row>
      <xdr:rowOff>95250</xdr:rowOff>
    </xdr:from>
    <xdr:to>
      <xdr:col>10</xdr:col>
      <xdr:colOff>304800</xdr:colOff>
      <xdr:row>21</xdr:row>
      <xdr:rowOff>41275</xdr:rowOff>
    </xdr:to>
    <mc:AlternateContent xmlns:mc="http://schemas.openxmlformats.org/markup-compatibility/2006">
      <mc:Choice xmlns:a14="http://schemas.microsoft.com/office/drawing/2010/main" Requires="a14">
        <xdr:graphicFrame macro="">
          <xdr:nvGraphicFramePr>
            <xdr:cNvPr id="3" name="discount">
              <a:extLst>
                <a:ext uri="{FF2B5EF4-FFF2-40B4-BE49-F238E27FC236}">
                  <a16:creationId xmlns:a16="http://schemas.microsoft.com/office/drawing/2014/main" id="{EC08FC3F-811C-7190-5F97-7524FEF48EDE}"/>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9042400" y="138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846574421295" createdVersion="8" refreshedVersion="8" minRefreshableVersion="3" recordCount="116" xr:uid="{F5A6389F-4D86-43A0-BCD1-B55771398102}">
  <cacheSource type="worksheet">
    <worksheetSource ref="A1:I115" sheet="Excel_jumia_dataset"/>
  </cacheSource>
  <cacheFields count="9">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2">
      <sharedItems containsSemiMixedTypes="0" containsString="0" containsNumber="1" minValue="38" maxValue="3750"/>
    </cacheField>
    <cacheField name="old price" numFmtId="2">
      <sharedItems containsSemiMixedTypes="0" containsString="0" containsNumber="1" minValue="80" maxValue="6143"/>
    </cacheField>
    <cacheField name="discount" numFmtId="2">
      <sharedItems containsString="0" containsBlank="1" containsNumber="1" containsInteger="1" minValue="24" maxValue="2585"/>
    </cacheField>
    <cacheField name="Discount2" numFmtId="9">
      <sharedItems containsSemiMixedTypes="0" containsString="0"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956521739130432"/>
      </sharedItems>
    </cacheField>
    <cacheField name="Review" numFmtId="1">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d" numFmtId="164">
      <sharedItems containsString="0" containsBlank="1" containsNumber="1" minValue="2" maxValue="5" count="24">
        <n v="4.5"/>
        <n v="4.0999999999999996"/>
        <n v="4.5999999999999996"/>
        <n v="4.7"/>
        <n v="4.8"/>
        <n v="4"/>
        <n v="3.8"/>
        <n v="4.2"/>
        <n v="5"/>
        <n v="3.3"/>
        <m/>
        <n v="4.4000000000000004"/>
        <n v="4.3"/>
        <n v="2.5"/>
        <n v="3"/>
        <n v="2.1"/>
        <n v="2.8"/>
        <n v="2.7"/>
        <n v="2.9"/>
        <n v="2.2000000000000002"/>
        <n v="2.2999999999999998"/>
        <n v="2.6"/>
        <n v="2"/>
        <n v="3.8894736842105258"/>
      </sharedItems>
    </cacheField>
    <cacheField name="product category 1" numFmtId="0">
      <sharedItems containsBlank="1" count="4">
        <s v="excellent"/>
        <s v="average"/>
        <s v="poor"/>
        <m/>
      </sharedItems>
    </cacheField>
    <cacheField name="product category 2" numFmtId="0">
      <sharedItems containsBlank="1" count="4">
        <s v="medium discount"/>
        <s v="high discount"/>
        <s v="lowdiscount"/>
        <m/>
      </sharedItems>
    </cacheField>
  </cacheFields>
  <extLst>
    <ext xmlns:x14="http://schemas.microsoft.com/office/spreadsheetml/2009/9/main" uri="{725AE2AE-9491-48be-B2B4-4EB974FC3084}">
      <x14:pivotCacheDefinition pivotCacheId="13142977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970842939816" createdVersion="8" refreshedVersion="8" minRefreshableVersion="3" recordCount="10" xr:uid="{7545DECC-AC85-45AF-8549-C549696C77A2}">
  <cacheSource type="worksheet">
    <worksheetSource ref="A2:I12" sheet="top 10 products(rating)"/>
  </cacheSource>
  <cacheFields count="9">
    <cacheField name="Product" numFmtId="0">
      <sharedItems count="10">
        <s v="Anti-Skid Absorbent Insulation Coaster  For Home Office"/>
        <s v="Peacock  Throw Pillow Cushion Case For Home Car"/>
        <s v="LASA Aluminum Folding Truck Hand Cart - 68kg Max"/>
        <s v="DIY File Folder, Office Drawer File Holder, Pen Holder, Desktop Storage Rack"/>
        <s v="Classic Black Cat Cotton Hemp Pillow Case For Home Car"/>
        <s v="Bedroom Simple Floor Hanging Clothes Rack Single Pole Hat Rack - White"/>
        <s v="Konka Healty Electric Kettle, 24-hour Heat Preservation,1.5L,800W, White"/>
        <s v="Portable Home Small Air Humidifier 3-Speed Fan - Green"/>
        <s v="LASA FOLDING TABLE SERVING STAND"/>
        <s v="40cm Gold DIY Acrylic Wall Sticker Clock"/>
      </sharedItems>
    </cacheField>
    <cacheField name="Current price" numFmtId="2">
      <sharedItems containsSemiMixedTypes="0" containsString="0" containsNumber="1" containsInteger="1" minValue="171" maxValue="3640"/>
    </cacheField>
    <cacheField name="old price" numFmtId="2">
      <sharedItems containsSemiMixedTypes="0" containsString="0" containsNumber="1" containsInteger="1" minValue="360" maxValue="4588"/>
    </cacheField>
    <cacheField name="discount" numFmtId="2">
      <sharedItems containsSemiMixedTypes="0" containsString="0" containsNumber="1" containsInteger="1" minValue="165" maxValue="1946"/>
    </cacheField>
    <cacheField name="Discount2" numFmtId="9">
      <sharedItems containsSemiMixedTypes="0" containsString="0" containsNumber="1" minValue="0.21" maxValue="0.55000000000000004"/>
    </cacheField>
    <cacheField name="Review" numFmtId="1">
      <sharedItems containsSemiMixedTypes="0" containsString="0" containsNumber="1" containsInteger="1" minValue="1" maxValue="12"/>
    </cacheField>
    <cacheField name="Ratingd" numFmtId="164">
      <sharedItems containsSemiMixedTypes="0" containsString="0" containsNumber="1" minValue="4.8" maxValue="5" count="2">
        <n v="5"/>
        <n v="4.8"/>
      </sharedItems>
    </cacheField>
    <cacheField name="product category 1" numFmtId="0">
      <sharedItems/>
    </cacheField>
    <cacheField name="product category 2" numFmtId="0">
      <sharedItems/>
    </cacheField>
  </cacheFields>
  <extLst>
    <ext xmlns:x14="http://schemas.microsoft.com/office/spreadsheetml/2009/9/main" uri="{725AE2AE-9491-48be-B2B4-4EB974FC3084}">
      <x14:pivotCacheDefinition pivotCacheId="20363328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977723611111" createdVersion="8" refreshedVersion="8" minRefreshableVersion="3" recordCount="11" xr:uid="{EAFF84FA-4562-4765-86C3-DB9FCA9CCFA5}">
  <cacheSource type="worksheet">
    <worksheetSource ref="A1:I12" sheet="top 10 products(reviews)"/>
  </cacheSource>
  <cacheFields count="9">
    <cacheField name="Product" numFmtId="0">
      <sharedItems containsBlank="1" count="11">
        <m/>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3Pcs/Set Yarn Knitting Crochet Hooks With Bag - Fortune Cat"/>
        <s v="52 Pieces Cake Decorating Tool Set Gift Kit Baking Supplies"/>
      </sharedItems>
    </cacheField>
    <cacheField name="Current price" numFmtId="2">
      <sharedItems containsMixedTypes="1" containsNumber="1" containsInteger="1" minValue="389" maxValue="2319"/>
    </cacheField>
    <cacheField name="old price" numFmtId="2">
      <sharedItems containsMixedTypes="1" containsNumber="1" containsInteger="1" minValue="647" maxValue="3032"/>
    </cacheField>
    <cacheField name="discount" numFmtId="2">
      <sharedItems containsString="0" containsBlank="1" containsNumber="1" containsInteger="1" minValue="227" maxValue="968"/>
    </cacheField>
    <cacheField name="Discount2" numFmtId="9">
      <sharedItems containsMixedTypes="1" containsNumber="1" minValue="0.24" maxValue="0.49" count="9">
        <e v="#REF!"/>
        <n v="0.49"/>
        <n v="0.24"/>
        <n v="0.35"/>
        <n v="0.34"/>
        <n v="0.41"/>
        <n v="0.27"/>
        <n v="0.25"/>
        <n v="0.3"/>
      </sharedItems>
    </cacheField>
    <cacheField name="Review" numFmtId="1">
      <sharedItems containsSemiMixedTypes="0" containsString="0" containsNumber="1" containsInteger="1" minValue="0" maxValue="69"/>
    </cacheField>
    <cacheField name="Ratingd" numFmtId="164">
      <sharedItems containsMixedTypes="1" containsNumber="1" minValue="2.8" maxValue="4.7" count="7">
        <e v="#REF!"/>
        <n v="2.8"/>
        <n v="4.5999999999999996"/>
        <n v="4.7"/>
        <n v="4.3"/>
        <n v="4.5"/>
        <n v="4.0999999999999996"/>
      </sharedItems>
    </cacheField>
    <cacheField name="product category 1" numFmtId="0">
      <sharedItems containsBlank="1"/>
    </cacheField>
    <cacheField name="product category 2" numFmtId="0">
      <sharedItems/>
    </cacheField>
  </cacheFields>
  <extLst>
    <ext xmlns:x14="http://schemas.microsoft.com/office/spreadsheetml/2009/9/main" uri="{725AE2AE-9491-48be-B2B4-4EB974FC3084}">
      <x14:pivotCacheDefinition pivotCacheId="20213080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3.983883680557" createdVersion="8" refreshedVersion="8" minRefreshableVersion="3" recordCount="10" xr:uid="{238440B5-74AB-401D-A54C-EEEC57C28AA9}">
  <cacheSource type="worksheet">
    <worksheetSource ref="A1:I11" sheet="top 10 products(discounts)"/>
  </cacheSource>
  <cacheFields count="9">
    <cacheField name="Product" numFmtId="0">
      <sharedItems count="10">
        <s v="5-PCS Stainless Steel Cooking Pot Set With Steamed Slices"/>
        <s v="LASA 3 Tier Bamboo Shoe Bench Storage Shelf"/>
        <s v="32PCS Portable Cordless Drill Set With Cyclic Battery Drive -26 Variable Speed"/>
        <s v="LASA Aluminum Folding Truck Hand Cart - 68kg Max"/>
        <s v="MultiFunctional Storage Rack Multi-layer Bookshelf"/>
        <s v="LASA Stainless Steel Double Wall Mount Soap Dispenser - 500ml"/>
        <s v="LED Eye Protection  Desk Lamp , Study, Reading, USB Fan - Double Pen Holder"/>
        <s v="LASA FOLDING TABLE SERVING STAND"/>
        <s v="Electric LED UV Mosquito Killer Lamp, Outdoor/Indoor Fly Killer Trap Light -USB"/>
        <s v="4pcs Bathroom/Kitchen Towel Rack,Roll Paper Holder,Towel Bars,Hook"/>
      </sharedItems>
    </cacheField>
    <cacheField name="Current price" numFmtId="2">
      <sharedItems containsSemiMixedTypes="0" containsString="0" containsNumber="1" containsInteger="1" minValue="1274" maxValue="3750"/>
    </cacheField>
    <cacheField name="old price" numFmtId="2">
      <sharedItems containsSemiMixedTypes="0" containsString="0" containsNumber="1" containsInteger="1" minValue="2800" maxValue="6143"/>
    </cacheField>
    <cacheField name="discount" numFmtId="2">
      <sharedItems containsSemiMixedTypes="0" containsString="0" containsNumber="1" containsInteger="1" minValue="1360" maxValue="2585" count="10">
        <n v="2585"/>
        <n v="2452"/>
        <n v="2393"/>
        <n v="1946"/>
        <n v="1880"/>
        <n v="1721"/>
        <n v="1670"/>
        <n v="1526"/>
        <n v="1418"/>
        <n v="1360"/>
      </sharedItems>
    </cacheField>
    <cacheField name="Discount2" numFmtId="9">
      <sharedItems containsSemiMixedTypes="0" containsString="0" containsNumber="1" minValue="0.38" maxValue="0.55000000000000004"/>
    </cacheField>
    <cacheField name="Review" numFmtId="1">
      <sharedItems containsString="0" containsBlank="1" containsNumber="1" containsInteger="1" minValue="3" maxValue="13"/>
    </cacheField>
    <cacheField name="Ratingd" numFmtId="164">
      <sharedItems containsString="0" containsBlank="1" containsNumber="1" minValue="2.1" maxValue="5"/>
    </cacheField>
    <cacheField name="product category 1" numFmtId="0">
      <sharedItems/>
    </cacheField>
    <cacheField name="product category 2" numFmtId="0">
      <sharedItems/>
    </cacheField>
  </cacheFields>
  <extLst>
    <ext xmlns:x14="http://schemas.microsoft.com/office/spreadsheetml/2009/9/main" uri="{725AE2AE-9491-48be-B2B4-4EB974FC3084}">
      <x14:pivotCacheDefinition pivotCacheId="18527614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884569791669" createdVersion="8" refreshedVersion="8" minRefreshableVersion="3" recordCount="116" xr:uid="{A53069BE-E134-4D7B-944A-2ABCC9B7521C}">
  <cacheSource type="worksheet">
    <worksheetSource ref="A1:I116" sheet="Excel_jumia_dataset"/>
  </cacheSource>
  <cacheFields count="9">
    <cacheField name="Product" numFmtId="0">
      <sharedItems containsBlank="1" count="110">
        <s v="5-PCS Stainless Steel Cooking Pot Set With Steamed Slices"/>
        <s v="LASA 3 Tier Bamboo Shoe Bench Storage Shelf"/>
        <s v="32PCS Portable Cordless Drill Set With Cyclic Battery Drive -26 Variable Speed"/>
        <s v="LASA Aluminum Folding Truck Hand Cart - 68kg Max"/>
        <s v="MultiFunctional Storage Rack Multi-layer Bookshelf"/>
        <s v="LASA Stainless Steel Double Wall Mount Soap Dispenser - 500ml"/>
        <s v="LED Eye Protection  Desk Lamp , Study, Reading, USB Fan - Double Pen Holder"/>
        <s v="LASA FOLDING TABLE SERVING STAND"/>
        <s v="Electric LED UV Mosquito Killer Lamp, Outdoor/Indoor Fly Killer Trap Light -USB"/>
        <s v="4pcs Bathroom/Kitchen Towel Rack,Roll Paper Holder,Towel Bars,Hook"/>
        <s v="13 In 1 Home Repair Tools Box Kit Set"/>
        <s v="Portable Wine Table With Folding Round Table"/>
        <s v="2PCS Ice Silk Square Cushion Cover Pillowcases - 65x65cm"/>
        <s v="DIY File Folder, Office Drawer File Holder, Pen Holder, Desktop Storage Rack"/>
        <s v="12V 19500rpm Handheld Electric Angle Grinder Tool - UK - Yellow/Black"/>
        <s v="Memory Foam Neck Pillow Cover, With Pillow Core - 50*30cm"/>
        <s v="Christmas Elk Fence Yard Lawn Decorations Cute For Holidays"/>
        <s v="380ML USB Rechargeable Portable Small Blenders And Juicers"/>
        <s v="9pcs Gas Mask, For Painting, Dust, Formaldehyde Grinding, Polishing"/>
        <s v="3D Waterproof EVA Plastic Shower Curtain 1.8*2Mtrs"/>
        <s v="Konka Healty Electric Kettle, 24-hour Heat Preservation,1.5L,800W, White"/>
        <s v="Bedroom Simple Floor Hanging Clothes Rack Single Pole Hat Rack - White"/>
        <s v="Large Lazy Inflatable Sofa Chairs PVC Lounger Seat Bag"/>
        <s v="Weighing Scale Digital Bathroom Body Fat Scale USB-Black"/>
        <s v="1/2/3 Seater Elastic Sofa Cover,Living Room/Home Decor Chair Cover-Grey"/>
        <s v="Wall Clock With Hidden Safe Box"/>
        <s v="7-piece Set Of Storage Bags, Travel Storage Bags, Shoe Bags"/>
        <s v="5m Waterproof Spherical LED String Lights Outdoor Ball Chain Lights Party Lighting Decoration Adjustable"/>
        <s v="Artificial Potted Flowers Room Decorative Flowers (2 Pieces)"/>
        <s v="Multifunction Laser Level With Adjustment Tripod"/>
        <s v="6 Layers Steel Pipe Assembling Dustproof Storage Shoe Cabinet"/>
        <s v="8in1 Screwdriver With LED Light"/>
        <s v="Angle Measuring Tool Full Metal Multi Angle Measuring Tool"/>
        <s v="2pcs Solar Street Light Flood Light Outdoor"/>
        <s v="52 Pieces Cake Decorating Tool Set Gift Kit Baking Supplies"/>
        <s v="Portable Mini Cordless Car Vacuum Cleaner - Blue"/>
        <s v="53 Pieces/Set Yarn Knitting Crochet Hooks With Bag - Pansies"/>
        <s v="137 Pieces Cake Decorating Tool Set Baking Supplies"/>
        <s v="53Pcs/Set Yarn Knitting Crochet Hooks With Bag - Fortune Cat"/>
        <s v="LED Wall Digital Alarm Clock Study Home 12 / 24H Clock Calendar"/>
        <s v="2PCS/LOT Solar LED Outdoor Intelligent Light Controlled Wall Lamp"/>
        <s v="Car Phone Charging Stand"/>
        <s v="Christmas Fence Garden Decorations Outdoor For Holiday Home"/>
        <s v="12 Litre Black Insulated Lunch Box"/>
        <s v="Portable Wardrobe Nonwoven With 3 Hanging Rods And 6 Storage Shelves"/>
        <s v="Cartoon Embroidered Mini Towel Bear Cotton Wash Cloth Hand 4pcs"/>
        <s v="Portable Home Small Air Humidifier 3-Speed Fan - Green"/>
        <s v="60W Hot Melt Glue Sprayer - Efficient And Stable Glue Dispensing"/>
        <s v="Desk Foldable Fan Adjustable Fan Strong Wind 3 Gear Usb"/>
        <s v="LED Solar Street Light-fake Camera"/>
        <s v="115  Piece Set Of Multifunctional Precision Screwdrivers"/>
        <s v="Cute Christmas Fence Garden Decorations For Holiday Home"/>
        <s v="Mythco 120COB Solar Wall Ligt With Motion Sensor And Remote Control 3 Modes"/>
        <s v="100 Pcs Crochet Hook Tool Set Knitting Hook Set With Box"/>
        <s v="12 Litre Insulated Lunch Box Grey"/>
        <s v="3PCS Rotary Scraper Thermomix For Kitchen"/>
        <s v="Baby Early Education Shape And Color Cognitive Training Toys"/>
        <s v="Foldable Overbed Table/Desk"/>
        <s v="Simple Metal Dog Art Sculpture Decoration For Home Office"/>
        <s v="40cm Gold DIY Acrylic Wall Sticker Clock"/>
        <s v="Metal Decorative Hooks Key Hangers Entryway Wall Hooks Towel Hooks - Home"/>
        <s v="LED Romantic Spaceship Starry Sky Projector,Children's Bedroom Night Light-Blue"/>
        <s v="Multifunctional Hanging Storage Box Storage Bag (4 Layers)"/>
        <s v="4M Float Switch Water Level Controller -Water Tank"/>
        <s v="Wall-mounted Sticker Punch-free Plug Fixer"/>
        <s v="Balloon Insert, Birthday Party Balloon Set, PU Leather"/>
        <s v="120W Cordless Vacuum Cleaners Handheld Electric Vacuum Cleaner"/>
        <s v="Wrought Iron Bathroom Shelf Wall Mounted Free Punch Toilet Rack"/>
        <s v="LASA Digital Thermometer And Hydrometer"/>
        <s v="Intelligent  LED Body Sensor Wireless Lighting Night Light USB"/>
        <s v="6 In 1 Bottle Can Opener Multifunctional Easy Opener"/>
        <s v="Anti-Skid Absorbent Insulation Coaster  For Home Office"/>
        <s v="VIC Wireless Vacuum Cleaner Dual Use For Home And Car 120W High Power Powerful"/>
        <s v="5 Pieces/set Of Stainless Steel Induction Cooker Pots"/>
        <s v="Agapeon Toothbrush Holder And Toothpaste Dispenser"/>
        <s v="Household Pineapple Peeler Peeler"/>
        <s v="Creative Owl Shape Keychain Black"/>
        <s v="Brush &amp; Paintbrush Cleaning Tool Pink"/>
        <s v="220V 60W Electric Soldering Iron Kits With Tools, Tips, And Multimeter"/>
        <s v="Punch-free Great Load Bearing Bathroom Storage Rack Wall Shelf-White"/>
        <s v="Cartoon Car Decoration Cute Individuality For Car Home Desk"/>
        <s v="Watercolour Gold Foil Textured Print Pillow Cover"/>
        <s v="Modern Sofa Throw Pillow Cover-45x45cm-Blue&amp;Red"/>
        <s v="4 Piece Coloured Stainless Steel Kitchenware Set"/>
        <s v="Office Chair Lumbar Back Support Spine Posture Correction Pillow Car Cushion"/>
        <s v="Wall-Mounted Toothbrush Toothpaste Holder With Multiple Slots"/>
        <s v="Electronic Digital Display Vernier Caliper"/>
        <s v="7PCS Silicone Thumb Knife Finger Protector Vegetable Harvesting Knife"/>
        <s v="Genebre 115 In 1 Screwdriver Repairing Tool Set For IPhone Cellphone Hand Tool"/>
        <s v="Exfoliate And Exfoliate Face Towel - Black"/>
        <s v="Classic Black Cat Cotton Hemp Pillow Case For Home Car"/>
        <s v="Peacock  Throw Pillow Cushion Case For Home Car"/>
        <s v="Metal Wall Clock Silver Dial Crystal Jewelry Round Home Decoration Wall Clock"/>
        <s v="Black Simple Water Cup Wine Coaster Anti Slip Absorbent"/>
        <s v="Wall Mount Automatic Toothpaste Dispenser Toothbrush Holder Toothpaste Squeezer"/>
        <s v="Outdoor Portable Water Bottle With Medicine Box - 600ML - Black"/>
        <s v="Sewing Machine Needle Threader Stitch Insertion Tool Automatic Quick Sewing"/>
        <s v="Pilates Cloth Bag Waterproof Durable High Capacity Purple"/>
        <s v="Cushion Silicone Butt Cushion Summer Ice Cushion Honeycomb Gel Cushion"/>
        <s v="1PC Refrigerator Food Seal Pocket Fridge Bags"/>
        <s v="3PCS Single Head Knitting Crochet Sweater Needle Set"/>
        <s v="Shower Nozzle Cleaning Unclogging Needle Mini Crevice Small Hole Cleaning Brush"/>
        <s v="Multi-purpose Rice Drainage Basket And Fruit And Vegetable Drainage Sieve"/>
        <s v="Pen Grips For Kids Pen Grip Posture Correction Tool For Kids"/>
        <s v="Shower Cap Wide Elastic Band Cover Reusable Bashroom Cap"/>
        <s v="Portable Soap Dispenser Kitchen Detergent Press Box Kitchen Tools"/>
        <s v="2 Pairs Cowhide Split Leather Work Gloves.32â„‰ Or Above Welding Gloves"/>
        <s v="Thickening Multipurpose Non Stick Easy To Clean Heat Resistant Spoon Pad"/>
        <s v="24 Grid Wall-mounted Sundries Organiser Fabric Closet Bag Storage Rack"/>
        <m/>
      </sharedItems>
    </cacheField>
    <cacheField name="Current price" numFmtId="2">
      <sharedItems containsMixedTypes="1" containsNumber="1" containsInteger="1" minValue="38" maxValue="3750"/>
    </cacheField>
    <cacheField name="old price" numFmtId="2">
      <sharedItems containsMixedTypes="1" containsNumber="1" containsInteger="1" minValue="80" maxValue="6143"/>
    </cacheField>
    <cacheField name="discount" numFmtId="2">
      <sharedItems containsString="0" containsBlank="1" containsNumber="1" containsInteger="1" minValue="24" maxValue="2585"/>
    </cacheField>
    <cacheField name="Discount%" numFmtId="9">
      <sharedItems containsMixedTypes="1" containsNumber="1" minValue="0.01" maxValue="0.64"/>
    </cacheField>
    <cacheField name="Review" numFmtId="1">
      <sharedItems containsString="0" containsBlank="1" containsNumber="1" containsInteger="1" minValue="0" maxValue="69"/>
    </cacheField>
    <cacheField name="Ratingd" numFmtId="164">
      <sharedItems containsBlank="1" containsMixedTypes="1" containsNumber="1" minValue="2" maxValue="5"/>
    </cacheField>
    <cacheField name="product category 1" numFmtId="0">
      <sharedItems containsBlank="1" count="4">
        <s v="poor"/>
        <s v="average"/>
        <s v="excellent"/>
        <m/>
      </sharedItems>
    </cacheField>
    <cacheField name="product category 2" numFmtId="0">
      <sharedItems containsBlank="1" count="5">
        <s v="high discount"/>
        <s v="medium discount"/>
        <s v="lowdiscount"/>
        <m/>
        <e v="#REF!"/>
      </sharedItems>
    </cacheField>
  </cacheFields>
  <extLst>
    <ext xmlns:x14="http://schemas.microsoft.com/office/spreadsheetml/2009/9/main" uri="{725AE2AE-9491-48be-B2B4-4EB974FC3084}">
      <x14:pivotCacheDefinition pivotCacheId="69803839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978413888886" createdVersion="8" refreshedVersion="8" minRefreshableVersion="3" recordCount="5" xr:uid="{F6F9E86F-C641-4ACB-9887-7FF88FAB94F8}">
  <cacheSource type="worksheet">
    <worksheetSource ref="A2:I7" sheet="top 5s"/>
  </cacheSource>
  <cacheFields count="9">
    <cacheField name="Product" numFmtId="0">
      <sharedItems count="5">
        <s v="Wall-mounted Sticker Punch-free Plug Fixer"/>
        <s v="5-PCS Stainless Steel Cooking Pot Set With Steamed Slices"/>
        <s v="Electric LED UV Mosquito Killer Lamp, Outdoor/Indoor Fly Killer Trap Light -USB"/>
        <s v="7-piece Set Of Storage Bags, Travel Storage Bags, Shoe Bags"/>
        <s v="Artificial Potted Flowers Room Decorative Flowers (2 Pieces)"/>
      </sharedItems>
    </cacheField>
    <cacheField name="Current price" numFmtId="2">
      <sharedItems containsSemiMixedTypes="0" containsString="0" containsNumber="1" containsInteger="1" minValue="450" maxValue="2115"/>
    </cacheField>
    <cacheField name="old price" numFmtId="2">
      <sharedItems containsSemiMixedTypes="0" containsString="0" containsNumber="1" containsInteger="1" minValue="900" maxValue="4700"/>
    </cacheField>
    <cacheField name="discount" numFmtId="2">
      <sharedItems containsSemiMixedTypes="0" containsString="0" containsNumber="1" containsInteger="1" minValue="450" maxValue="2585"/>
    </cacheField>
    <cacheField name="Discount%" numFmtId="9">
      <sharedItems containsSemiMixedTypes="0" containsString="0" containsNumber="1" minValue="0.45" maxValue="0.55000000000000004"/>
    </cacheField>
    <cacheField name="Review" numFmtId="1">
      <sharedItems containsSemiMixedTypes="0" containsString="0" containsNumber="1" containsInteger="1" minValue="1" maxValue="13"/>
    </cacheField>
    <cacheField name="Ratingd" numFmtId="164">
      <sharedItems containsSemiMixedTypes="0" containsString="0" containsNumber="1" minValue="2" maxValue="2.2000000000000002" count="3">
        <n v="2"/>
        <n v="2.1"/>
        <n v="2.2000000000000002"/>
      </sharedItems>
    </cacheField>
    <cacheField name="ratings category " numFmtId="0">
      <sharedItems/>
    </cacheField>
    <cacheField name="discounts category"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983063310188" createdVersion="8" refreshedVersion="8" minRefreshableVersion="3" recordCount="5" xr:uid="{453A5D2D-0808-4E5E-8BCA-8D01CE195CE3}">
  <cacheSource type="worksheet">
    <worksheetSource ref="A10:I15" sheet="top 5s"/>
  </cacheSource>
  <cacheFields count="9">
    <cacheField name="Product" numFmtId="0">
      <sharedItems count="5">
        <s v="LASA Aluminum Folding Truck Hand Cart - 68kg Max"/>
        <s v="DIY File Folder, Office Drawer File Holder, Pen Holder, Desktop Storage Rack"/>
        <s v="Konka Healty Electric Kettle, 24-hour Heat Preservation,1.5L,800W, White"/>
        <s v="Bedroom Simple Floor Hanging Clothes Rack Single Pole Hat Rack - White"/>
        <s v="Anti-Skid Absorbent Insulation Coaster  For Home Office"/>
      </sharedItems>
    </cacheField>
    <cacheField name="Current price" numFmtId="2">
      <sharedItems containsSemiMixedTypes="0" containsString="0" containsNumber="1" containsInteger="1" minValue="332" maxValue="3640"/>
    </cacheField>
    <cacheField name="old price" numFmtId="2">
      <sharedItems containsSemiMixedTypes="0" containsString="0" containsNumber="1" containsInteger="1" minValue="684" maxValue="4588"/>
    </cacheField>
    <cacheField name="discount" numFmtId="2">
      <sharedItems containsSemiMixedTypes="0" containsString="0" containsNumber="1" containsInteger="1" minValue="352" maxValue="1946"/>
    </cacheField>
    <cacheField name="Discount%" numFmtId="9">
      <sharedItems containsSemiMixedTypes="0" containsString="0" containsNumber="1" minValue="0.21" maxValue="0.51"/>
    </cacheField>
    <cacheField name="Review" numFmtId="1">
      <sharedItems containsSemiMixedTypes="0" containsString="0" containsNumber="1" containsInteger="1" minValue="1" maxValue="3"/>
    </cacheField>
    <cacheField name="Ratingd" numFmtId="164">
      <sharedItems containsSemiMixedTypes="0" containsString="0" containsNumber="1" containsInteger="1" minValue="5" maxValue="5"/>
    </cacheField>
    <cacheField name="ratings category " numFmtId="0">
      <sharedItems/>
    </cacheField>
    <cacheField name="discounts category"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4.994168865742" createdVersion="8" refreshedVersion="8" minRefreshableVersion="3" recordCount="117" xr:uid="{770F45E5-5810-4CBC-9578-B17BA77EE220}">
  <cacheSource type="worksheet">
    <worksheetSource ref="A1:I117" sheet="Excel_jumia_dataset"/>
  </cacheSource>
  <cacheFields count="9">
    <cacheField name="Product" numFmtId="0">
      <sharedItems containsBlank="1"/>
    </cacheField>
    <cacheField name="Current price" numFmtId="2">
      <sharedItems containsSemiMixedTypes="0" containsString="0" containsNumber="1" containsInteger="1" minValue="38" maxValue="3750"/>
    </cacheField>
    <cacheField name="old price" numFmtId="2">
      <sharedItems containsString="0" containsBlank="1" containsNumber="1" minValue="80" maxValue="6143"/>
    </cacheField>
    <cacheField name="discount" numFmtId="2">
      <sharedItems containsString="0" containsBlank="1" containsNumber="1" minValue="24" maxValue="2585" count="105">
        <n v="1946"/>
        <n v="1070"/>
        <n v="948"/>
        <n v="941"/>
        <n v="352"/>
        <n v="189"/>
        <n v="165"/>
        <n v="1526"/>
        <n v="616"/>
        <n v="483"/>
        <n v="919"/>
        <n v="710"/>
        <n v="510"/>
        <n v="968"/>
        <n v="724"/>
        <n v="713"/>
        <n v="700"/>
        <n v="227"/>
        <n v="900"/>
        <n v="719"/>
        <n v="575"/>
        <n v="359"/>
        <n v="500"/>
        <n v="2452"/>
        <n v="1670"/>
        <n v="267"/>
        <n v="197"/>
        <n v="819"/>
        <n v="741"/>
        <n v="472"/>
        <n v="200"/>
        <n v="592"/>
        <n v="470"/>
        <n v="317"/>
        <n v="291"/>
        <n v="1329"/>
        <n v="640"/>
        <n v="42"/>
        <n v="2393"/>
        <n v="1010"/>
        <n v="940"/>
        <n v="528"/>
        <n v="390"/>
        <n v="335"/>
        <n v="428"/>
        <n v="668.68181818181813"/>
        <n v="355"/>
        <n v="318"/>
        <n v="330"/>
        <n v="1000"/>
        <n v="257"/>
        <n v="846"/>
        <n v="824"/>
        <n v="2585"/>
        <n v="1418"/>
        <n v="450"/>
        <n v="1880"/>
        <n v="1721"/>
        <n v="1360"/>
        <n v="1200"/>
        <n v="1011"/>
        <n v="1001"/>
        <n v="850"/>
        <n v="830"/>
        <n v="800"/>
        <n v="794"/>
        <n v="768"/>
        <n v="750"/>
        <n v="695"/>
        <n v="645"/>
        <n v="644"/>
        <n v="631"/>
        <n v="620"/>
        <n v="595"/>
        <n v="587"/>
        <n v="544"/>
        <n v="504"/>
        <n v="497"/>
        <n v="456"/>
        <n v="401"/>
        <n v="354"/>
        <n v="305"/>
        <n v="301"/>
        <n v="263"/>
        <n v="238"/>
        <n v="233"/>
        <n v="231"/>
        <n v="220"/>
        <n v="169"/>
        <n v="153"/>
        <n v="151"/>
        <n v="134"/>
        <n v="101"/>
        <n v="95"/>
        <n v="85"/>
        <n v="67"/>
        <n v="62"/>
        <n v="41"/>
        <n v="40"/>
        <n v="39"/>
        <n v="37"/>
        <n v="33"/>
        <n v="31"/>
        <n v="24"/>
        <m/>
      </sharedItems>
    </cacheField>
    <cacheField name="Discount%" numFmtId="0">
      <sharedItems containsString="0" containsBlank="1" containsNumber="1" minValue="0.01" maxValue="0.64" count="48">
        <n v="0.49"/>
        <n v="0.4"/>
        <n v="0.21"/>
        <n v="0.51"/>
        <n v="0.53"/>
        <n v="0.46"/>
        <n v="0.55000000000000004"/>
        <n v="0.26"/>
        <n v="0.47"/>
        <n v="0.37"/>
        <n v="0.27"/>
        <n v="0.34"/>
        <n v="0.25"/>
        <n v="0.24"/>
        <n v="0.19"/>
        <n v="0.35"/>
        <n v="0.38"/>
        <n v="0.42"/>
        <n v="0.23"/>
        <n v="0.54"/>
        <n v="0.48"/>
        <n v="0.41"/>
        <n v="0.52"/>
        <n v="0.33"/>
        <n v="0.3"/>
        <n v="0.2"/>
        <n v="0.09"/>
        <n v="0.45"/>
        <n v="0.32"/>
        <n v="0.18"/>
        <n v="0.39"/>
        <n v="0.28999999999999998"/>
        <n v="0.43"/>
        <n v="0.22"/>
        <n v="0.37772727272727269"/>
        <n v="0.13"/>
        <n v="0.5"/>
        <n v="0.36"/>
        <n v="0.64"/>
        <n v="0.61"/>
        <n v="0.14000000000000001"/>
        <n v="0.04"/>
        <n v="0.08"/>
        <n v="0.11"/>
        <n v="0.02"/>
        <n v="0.03"/>
        <n v="0.01"/>
        <m/>
      </sharedItems>
    </cacheField>
    <cacheField name="Review" numFmtId="1">
      <sharedItems containsString="0" containsBlank="1" containsNumber="1" minValue="1" maxValue="736.0454545454545"/>
    </cacheField>
    <cacheField name="Ratingd" numFmtId="164">
      <sharedItems containsString="0" containsBlank="1" containsNumber="1" minValue="2" maxValue="5" count="24">
        <n v="5"/>
        <n v="4.8"/>
        <n v="4.7"/>
        <n v="4.5999999999999996"/>
        <n v="4.5"/>
        <n v="4.4000000000000004"/>
        <n v="4.3"/>
        <n v="4.2"/>
        <n v="4.0999999999999996"/>
        <n v="4"/>
        <n v="3.8"/>
        <n v="3.3"/>
        <n v="3"/>
        <n v="2.9"/>
        <n v="2.8"/>
        <n v="3.6727272727272724"/>
        <n v="2.7"/>
        <n v="2.6"/>
        <n v="2.5"/>
        <n v="2.2999999999999998"/>
        <n v="2.2000000000000002"/>
        <n v="2.1"/>
        <n v="2"/>
        <m/>
      </sharedItems>
    </cacheField>
    <cacheField name="ratings category " numFmtId="0">
      <sharedItems containsBlank="1" count="4">
        <s v="excellent"/>
        <s v="average"/>
        <s v="poor"/>
        <m/>
      </sharedItems>
    </cacheField>
    <cacheField name="discounts category" numFmtId="0">
      <sharedItems containsBlank="1" count="4">
        <s v="high discount"/>
        <s v="medium discount"/>
        <s v="lowdiscount"/>
        <m/>
      </sharedItems>
    </cacheField>
  </cacheFields>
  <extLst>
    <ext xmlns:x14="http://schemas.microsoft.com/office/spreadsheetml/2009/9/main" uri="{725AE2AE-9491-48be-B2B4-4EB974FC3084}">
      <x14:pivotCacheDefinition pivotCacheId="1378493999"/>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pid Lashes" refreshedDate="46185.007770370372" createdVersion="8" refreshedVersion="8" minRefreshableVersion="3" recordCount="117" xr:uid="{34863E5D-1DAA-4142-A359-637C0E3DE2CA}">
  <cacheSource type="worksheet">
    <worksheetSource ref="A1:I118" sheet="Excel_jumia_dataset"/>
  </cacheSource>
  <cacheFields count="9">
    <cacheField name="Product" numFmtId="0">
      <sharedItems containsBlank="1"/>
    </cacheField>
    <cacheField name="Current price" numFmtId="2">
      <sharedItems containsSemiMixedTypes="0" containsString="0" containsNumber="1" containsInteger="1" minValue="38" maxValue="3750"/>
    </cacheField>
    <cacheField name="old price" numFmtId="2">
      <sharedItems containsString="0" containsBlank="1" containsNumber="1" minValue="80" maxValue="6143"/>
    </cacheField>
    <cacheField name="discount" numFmtId="2">
      <sharedItems containsString="0" containsBlank="1" containsNumber="1" minValue="24" maxValue="2585"/>
    </cacheField>
    <cacheField name="Discount%" numFmtId="0">
      <sharedItems containsString="0" containsBlank="1" containsNumber="1" minValue="0.01" maxValue="0.64"/>
    </cacheField>
    <cacheField name="Review" numFmtId="1">
      <sharedItems containsString="0" containsBlank="1" containsNumber="1" minValue="1" maxValue="723" count="26">
        <n v="3"/>
        <n v="1"/>
        <n v="2"/>
        <n v="5"/>
        <n v="12"/>
        <n v="7"/>
        <n v="20"/>
        <n v="39"/>
        <n v="44"/>
        <n v="24"/>
        <n v="55"/>
        <n v="49"/>
        <n v="32"/>
        <n v="6"/>
        <n v="14"/>
        <n v="9"/>
        <n v="36"/>
        <n v="15"/>
        <n v="13"/>
        <n v="10"/>
        <n v="16"/>
        <n v="69"/>
        <n v="17"/>
        <m/>
        <n v="723"/>
        <n v="13.045454545454545"/>
      </sharedItems>
    </cacheField>
    <cacheField name="Ratingd" numFmtId="164">
      <sharedItems containsString="0" containsBlank="1" containsNumber="1" minValue="2" maxValue="5"/>
    </cacheField>
    <cacheField name="ratings category " numFmtId="0">
      <sharedItems containsBlank="1"/>
    </cacheField>
    <cacheField name="discounts category" numFmtId="0">
      <sharedItems containsBlank="1" count="4">
        <s v="high discount"/>
        <s v="medium discount"/>
        <s v="lowdiscount"/>
        <m/>
      </sharedItems>
    </cacheField>
  </cacheFields>
  <extLst>
    <ext xmlns:x14="http://schemas.microsoft.com/office/spreadsheetml/2009/9/main" uri="{725AE2AE-9491-48be-B2B4-4EB974FC3084}">
      <x14:pivotCacheDefinition pivotCacheId="1640145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950"/>
    <n v="1525"/>
    <n v="575"/>
    <x v="0"/>
    <x v="0"/>
    <x v="0"/>
    <x v="0"/>
    <x v="0"/>
  </r>
  <r>
    <x v="1"/>
    <n v="527"/>
    <n v="999"/>
    <n v="472"/>
    <x v="1"/>
    <x v="1"/>
    <x v="1"/>
    <x v="1"/>
    <x v="1"/>
  </r>
  <r>
    <x v="2"/>
    <n v="2199"/>
    <n v="2923"/>
    <n v="724"/>
    <x v="2"/>
    <x v="2"/>
    <x v="2"/>
    <x v="0"/>
    <x v="0"/>
  </r>
  <r>
    <x v="3"/>
    <n v="1580"/>
    <n v="2499"/>
    <n v="919"/>
    <x v="3"/>
    <x v="3"/>
    <x v="3"/>
    <x v="0"/>
    <x v="0"/>
  </r>
  <r>
    <x v="4"/>
    <n v="1740"/>
    <n v="2356"/>
    <n v="616"/>
    <x v="4"/>
    <x v="4"/>
    <x v="4"/>
    <x v="0"/>
    <x v="0"/>
  </r>
  <r>
    <x v="5"/>
    <n v="2999"/>
    <n v="3290"/>
    <n v="291"/>
    <x v="5"/>
    <x v="5"/>
    <x v="5"/>
    <x v="1"/>
    <x v="2"/>
  </r>
  <r>
    <x v="6"/>
    <n v="2319"/>
    <n v="3032"/>
    <n v="713"/>
    <x v="6"/>
    <x v="6"/>
    <x v="2"/>
    <x v="0"/>
    <x v="0"/>
  </r>
  <r>
    <x v="7"/>
    <n v="988"/>
    <n v="1580"/>
    <n v="592"/>
    <x v="3"/>
    <x v="0"/>
    <x v="5"/>
    <x v="1"/>
    <x v="0"/>
  </r>
  <r>
    <x v="8"/>
    <n v="1274"/>
    <n v="2800"/>
    <n v="1526"/>
    <x v="7"/>
    <x v="4"/>
    <x v="4"/>
    <x v="0"/>
    <x v="1"/>
  </r>
  <r>
    <x v="9"/>
    <n v="1600"/>
    <n v="2929"/>
    <n v="1329"/>
    <x v="8"/>
    <x v="4"/>
    <x v="6"/>
    <x v="1"/>
    <x v="1"/>
  </r>
  <r>
    <x v="10"/>
    <n v="799"/>
    <n v="999"/>
    <n v="200"/>
    <x v="9"/>
    <x v="7"/>
    <x v="1"/>
    <x v="1"/>
    <x v="0"/>
  </r>
  <r>
    <x v="11"/>
    <n v="990"/>
    <n v="1500"/>
    <n v="510"/>
    <x v="10"/>
    <x v="8"/>
    <x v="3"/>
    <x v="0"/>
    <x v="0"/>
  </r>
  <r>
    <x v="12"/>
    <n v="552"/>
    <n v="1035"/>
    <n v="483"/>
    <x v="1"/>
    <x v="7"/>
    <x v="4"/>
    <x v="0"/>
    <x v="1"/>
  </r>
  <r>
    <x v="13"/>
    <n v="501"/>
    <n v="860"/>
    <n v="359"/>
    <x v="11"/>
    <x v="9"/>
    <x v="0"/>
    <x v="1"/>
    <x v="1"/>
  </r>
  <r>
    <x v="14"/>
    <n v="1680"/>
    <n v="2499"/>
    <n v="819"/>
    <x v="12"/>
    <x v="10"/>
    <x v="7"/>
    <x v="1"/>
    <x v="0"/>
  </r>
  <r>
    <x v="15"/>
    <n v="332"/>
    <n v="684"/>
    <n v="352"/>
    <x v="13"/>
    <x v="0"/>
    <x v="8"/>
    <x v="0"/>
    <x v="1"/>
  </r>
  <r>
    <x v="16"/>
    <n v="195"/>
    <n v="360"/>
    <n v="165"/>
    <x v="14"/>
    <x v="0"/>
    <x v="8"/>
    <x v="0"/>
    <x v="1"/>
  </r>
  <r>
    <x v="17"/>
    <n v="2025"/>
    <n v="3971"/>
    <n v="1946"/>
    <x v="15"/>
    <x v="11"/>
    <x v="8"/>
    <x v="0"/>
    <x v="1"/>
  </r>
  <r>
    <x v="18"/>
    <n v="2999"/>
    <n v="3699"/>
    <n v="700"/>
    <x v="16"/>
    <x v="4"/>
    <x v="2"/>
    <x v="0"/>
    <x v="2"/>
  </r>
  <r>
    <x v="19"/>
    <n v="998"/>
    <n v="1966"/>
    <n v="968"/>
    <x v="15"/>
    <x v="12"/>
    <x v="2"/>
    <x v="0"/>
    <x v="1"/>
  </r>
  <r>
    <x v="20"/>
    <n v="38"/>
    <n v="80"/>
    <n v="42"/>
    <x v="17"/>
    <x v="13"/>
    <x v="9"/>
    <x v="1"/>
    <x v="1"/>
  </r>
  <r>
    <x v="21"/>
    <n v="1860"/>
    <n v="3220"/>
    <n v="1360"/>
    <x v="11"/>
    <x v="14"/>
    <x v="10"/>
    <x v="2"/>
    <x v="1"/>
  </r>
  <r>
    <x v="22"/>
    <n v="880"/>
    <n v="1350"/>
    <n v="470"/>
    <x v="18"/>
    <x v="9"/>
    <x v="5"/>
    <x v="1"/>
    <x v="0"/>
  </r>
  <r>
    <x v="23"/>
    <n v="1650"/>
    <n v="2150"/>
    <n v="500"/>
    <x v="19"/>
    <x v="1"/>
    <x v="11"/>
    <x v="1"/>
    <x v="0"/>
  </r>
  <r>
    <x v="24"/>
    <n v="2048"/>
    <n v="4500"/>
    <n v="2452"/>
    <x v="20"/>
    <x v="3"/>
    <x v="12"/>
    <x v="1"/>
    <x v="1"/>
  </r>
  <r>
    <x v="25"/>
    <n v="420"/>
    <n v="647"/>
    <n v="227"/>
    <x v="18"/>
    <x v="15"/>
    <x v="2"/>
    <x v="0"/>
    <x v="0"/>
  </r>
  <r>
    <x v="26"/>
    <n v="2880"/>
    <n v="3520"/>
    <n v="640"/>
    <x v="21"/>
    <x v="7"/>
    <x v="6"/>
    <x v="1"/>
    <x v="2"/>
  </r>
  <r>
    <x v="27"/>
    <n v="1350"/>
    <n v="1990"/>
    <n v="640"/>
    <x v="22"/>
    <x v="13"/>
    <x v="6"/>
    <x v="1"/>
    <x v="0"/>
  </r>
  <r>
    <x v="28"/>
    <n v="1758"/>
    <n v="2499"/>
    <n v="741"/>
    <x v="23"/>
    <x v="16"/>
    <x v="1"/>
    <x v="1"/>
    <x v="0"/>
  </r>
  <r>
    <x v="29"/>
    <n v="2200"/>
    <n v="4080"/>
    <n v="1880"/>
    <x v="14"/>
    <x v="14"/>
    <x v="10"/>
    <x v="2"/>
    <x v="1"/>
  </r>
  <r>
    <x v="30"/>
    <n v="185"/>
    <n v="382"/>
    <n v="197"/>
    <x v="24"/>
    <x v="10"/>
    <x v="12"/>
    <x v="1"/>
    <x v="1"/>
  </r>
  <r>
    <x v="31"/>
    <n v="980"/>
    <n v="1490"/>
    <n v="510"/>
    <x v="10"/>
    <x v="7"/>
    <x v="3"/>
    <x v="0"/>
    <x v="0"/>
  </r>
  <r>
    <x v="32"/>
    <n v="1820"/>
    <n v="3490"/>
    <n v="1670"/>
    <x v="25"/>
    <x v="10"/>
    <x v="12"/>
    <x v="1"/>
    <x v="1"/>
  </r>
  <r>
    <x v="33"/>
    <n v="1940"/>
    <n v="2650"/>
    <n v="710"/>
    <x v="26"/>
    <x v="16"/>
    <x v="3"/>
    <x v="0"/>
    <x v="0"/>
  </r>
  <r>
    <x v="34"/>
    <n v="1980"/>
    <n v="2699"/>
    <n v="719"/>
    <x v="26"/>
    <x v="17"/>
    <x v="0"/>
    <x v="1"/>
    <x v="0"/>
  </r>
  <r>
    <x v="35"/>
    <n v="1620"/>
    <n v="2690"/>
    <n v="1070"/>
    <x v="27"/>
    <x v="18"/>
    <x v="8"/>
    <x v="0"/>
    <x v="0"/>
  </r>
  <r>
    <x v="36"/>
    <n v="171"/>
    <n v="360"/>
    <n v="189"/>
    <x v="17"/>
    <x v="0"/>
    <x v="8"/>
    <x v="0"/>
    <x v="1"/>
  </r>
  <r>
    <x v="37"/>
    <n v="389"/>
    <n v="656"/>
    <n v="267"/>
    <x v="28"/>
    <x v="19"/>
    <x v="12"/>
    <x v="1"/>
    <x v="1"/>
  </r>
  <r>
    <x v="38"/>
    <n v="1800"/>
    <n v="2700"/>
    <n v="900"/>
    <x v="0"/>
    <x v="0"/>
    <x v="0"/>
    <x v="1"/>
    <x v="0"/>
  </r>
  <r>
    <x v="39"/>
    <n v="2750"/>
    <n v="4471"/>
    <n v="1721"/>
    <x v="0"/>
    <x v="14"/>
    <x v="10"/>
    <x v="2"/>
    <x v="0"/>
  </r>
  <r>
    <x v="40"/>
    <n v="475"/>
    <n v="931"/>
    <n v="456"/>
    <x v="15"/>
    <x v="14"/>
    <x v="10"/>
    <x v="2"/>
    <x v="1"/>
  </r>
  <r>
    <x v="41"/>
    <n v="238"/>
    <n v="476"/>
    <n v="238"/>
    <x v="29"/>
    <x v="14"/>
    <x v="10"/>
    <x v="2"/>
    <x v="1"/>
  </r>
  <r>
    <x v="42"/>
    <n v="610"/>
    <n v="1060"/>
    <n v="450"/>
    <x v="11"/>
    <x v="14"/>
    <x v="10"/>
    <x v="2"/>
    <x v="1"/>
  </r>
  <r>
    <x v="42"/>
    <n v="610"/>
    <n v="1060"/>
    <n v="450"/>
    <x v="11"/>
    <x v="14"/>
    <x v="10"/>
    <x v="2"/>
    <x v="1"/>
  </r>
  <r>
    <x v="43"/>
    <n v="2132"/>
    <n v="2169"/>
    <n v="37"/>
    <x v="30"/>
    <x v="14"/>
    <x v="10"/>
    <x v="2"/>
    <x v="2"/>
  </r>
  <r>
    <x v="44"/>
    <n v="999"/>
    <n v="2000"/>
    <n v="1001"/>
    <x v="29"/>
    <x v="14"/>
    <x v="10"/>
    <x v="2"/>
    <x v="1"/>
  </r>
  <r>
    <x v="45"/>
    <n v="1190"/>
    <n v="1785"/>
    <n v="595"/>
    <x v="12"/>
    <x v="14"/>
    <x v="10"/>
    <x v="2"/>
    <x v="0"/>
  </r>
  <r>
    <x v="46"/>
    <n v="671"/>
    <n v="1316"/>
    <n v="645"/>
    <x v="15"/>
    <x v="14"/>
    <x v="10"/>
    <x v="2"/>
    <x v="1"/>
  </r>
  <r>
    <x v="47"/>
    <n v="1200"/>
    <n v="1950"/>
    <n v="750"/>
    <x v="0"/>
    <x v="14"/>
    <x v="10"/>
    <x v="2"/>
    <x v="0"/>
  </r>
  <r>
    <x v="48"/>
    <n v="199"/>
    <n v="504"/>
    <n v="305"/>
    <x v="31"/>
    <x v="14"/>
    <x v="10"/>
    <x v="2"/>
    <x v="1"/>
  </r>
  <r>
    <x v="49"/>
    <n v="299"/>
    <n v="600"/>
    <n v="301"/>
    <x v="29"/>
    <x v="14"/>
    <x v="10"/>
    <x v="2"/>
    <x v="1"/>
  </r>
  <r>
    <x v="50"/>
    <n v="1660"/>
    <n v="1699"/>
    <n v="39"/>
    <x v="30"/>
    <x v="14"/>
    <x v="10"/>
    <x v="2"/>
    <x v="2"/>
  </r>
  <r>
    <x v="51"/>
    <n v="299"/>
    <n v="384"/>
    <n v="85"/>
    <x v="32"/>
    <x v="14"/>
    <x v="10"/>
    <x v="2"/>
    <x v="0"/>
  </r>
  <r>
    <x v="52"/>
    <n v="1459"/>
    <n v="1499"/>
    <n v="40"/>
    <x v="33"/>
    <x v="14"/>
    <x v="10"/>
    <x v="2"/>
    <x v="2"/>
  </r>
  <r>
    <x v="53"/>
    <n v="799"/>
    <n v="1343"/>
    <n v="544"/>
    <x v="28"/>
    <x v="14"/>
    <x v="10"/>
    <x v="2"/>
    <x v="1"/>
  </r>
  <r>
    <x v="54"/>
    <n v="499"/>
    <n v="900"/>
    <n v="401"/>
    <x v="8"/>
    <x v="14"/>
    <x v="10"/>
    <x v="2"/>
    <x v="1"/>
  </r>
  <r>
    <x v="55"/>
    <n v="699"/>
    <n v="1343"/>
    <n v="644"/>
    <x v="25"/>
    <x v="14"/>
    <x v="10"/>
    <x v="2"/>
    <x v="1"/>
  </r>
  <r>
    <x v="56"/>
    <n v="799"/>
    <n v="1567"/>
    <n v="768"/>
    <x v="15"/>
    <x v="14"/>
    <x v="10"/>
    <x v="2"/>
    <x v="1"/>
  </r>
  <r>
    <x v="57"/>
    <n v="2799"/>
    <n v="3810"/>
    <n v="1011"/>
    <x v="26"/>
    <x v="14"/>
    <x v="10"/>
    <x v="2"/>
    <x v="0"/>
  </r>
  <r>
    <x v="54"/>
    <n v="399"/>
    <n v="896"/>
    <n v="497"/>
    <x v="7"/>
    <x v="14"/>
    <x v="10"/>
    <x v="2"/>
    <x v="1"/>
  </r>
  <r>
    <x v="58"/>
    <n v="2170"/>
    <n v="2500"/>
    <n v="330"/>
    <x v="34"/>
    <x v="9"/>
    <x v="13"/>
    <x v="2"/>
    <x v="2"/>
  </r>
  <r>
    <x v="59"/>
    <n v="458"/>
    <n v="986"/>
    <n v="528"/>
    <x v="20"/>
    <x v="20"/>
    <x v="14"/>
    <x v="1"/>
    <x v="1"/>
  </r>
  <r>
    <x v="60"/>
    <n v="2115"/>
    <n v="4700"/>
    <n v="2585"/>
    <x v="7"/>
    <x v="13"/>
    <x v="15"/>
    <x v="2"/>
    <x v="1"/>
  </r>
  <r>
    <x v="61"/>
    <n v="445"/>
    <n v="873"/>
    <n v="428"/>
    <x v="15"/>
    <x v="21"/>
    <x v="16"/>
    <x v="2"/>
    <x v="1"/>
  </r>
  <r>
    <x v="62"/>
    <n v="325"/>
    <n v="680"/>
    <n v="355"/>
    <x v="24"/>
    <x v="5"/>
    <x v="17"/>
    <x v="2"/>
    <x v="1"/>
  </r>
  <r>
    <x v="63"/>
    <n v="1220"/>
    <n v="1555"/>
    <n v="335"/>
    <x v="32"/>
    <x v="22"/>
    <x v="18"/>
    <x v="2"/>
    <x v="0"/>
  </r>
  <r>
    <x v="64"/>
    <n v="990"/>
    <n v="1814"/>
    <n v="824"/>
    <x v="8"/>
    <x v="9"/>
    <x v="19"/>
    <x v="2"/>
    <x v="1"/>
  </r>
  <r>
    <x v="65"/>
    <n v="1000"/>
    <n v="2000"/>
    <n v="1000"/>
    <x v="29"/>
    <x v="3"/>
    <x v="20"/>
    <x v="2"/>
    <x v="1"/>
  </r>
  <r>
    <x v="66"/>
    <n v="3750"/>
    <n v="6143"/>
    <n v="2393"/>
    <x v="35"/>
    <x v="4"/>
    <x v="14"/>
    <x v="1"/>
    <x v="0"/>
  </r>
  <r>
    <x v="67"/>
    <n v="382"/>
    <n v="700"/>
    <n v="318"/>
    <x v="8"/>
    <x v="23"/>
    <x v="21"/>
    <x v="2"/>
    <x v="1"/>
  </r>
  <r>
    <x v="68"/>
    <n v="2300"/>
    <n v="3240"/>
    <n v="940"/>
    <x v="36"/>
    <x v="4"/>
    <x v="14"/>
    <x v="1"/>
    <x v="0"/>
  </r>
  <r>
    <x v="69"/>
    <n v="345"/>
    <n v="602"/>
    <n v="257"/>
    <x v="37"/>
    <x v="9"/>
    <x v="20"/>
    <x v="2"/>
    <x v="1"/>
  </r>
  <r>
    <x v="70"/>
    <n v="509"/>
    <n v="899"/>
    <n v="390"/>
    <x v="37"/>
    <x v="4"/>
    <x v="14"/>
    <x v="1"/>
    <x v="1"/>
  </r>
  <r>
    <x v="71"/>
    <n v="968"/>
    <n v="1814"/>
    <n v="846"/>
    <x v="1"/>
    <x v="9"/>
    <x v="19"/>
    <x v="2"/>
    <x v="1"/>
  </r>
  <r>
    <x v="72"/>
    <n v="1570"/>
    <n v="2988"/>
    <n v="1418"/>
    <x v="1"/>
    <x v="3"/>
    <x v="15"/>
    <x v="2"/>
    <x v="1"/>
  </r>
  <r>
    <x v="73"/>
    <n v="790"/>
    <n v="1485"/>
    <n v="695"/>
    <x v="1"/>
    <x v="14"/>
    <x v="10"/>
    <x v="2"/>
    <x v="1"/>
  </r>
  <r>
    <x v="74"/>
    <n v="690"/>
    <n v="1200"/>
    <n v="510"/>
    <x v="37"/>
    <x v="14"/>
    <x v="10"/>
    <x v="2"/>
    <x v="1"/>
  </r>
  <r>
    <x v="75"/>
    <n v="1732"/>
    <n v="1799"/>
    <n v="67"/>
    <x v="38"/>
    <x v="14"/>
    <x v="10"/>
    <x v="2"/>
    <x v="2"/>
  </r>
  <r>
    <x v="76"/>
    <n v="230"/>
    <n v="450"/>
    <n v="220"/>
    <x v="15"/>
    <x v="14"/>
    <x v="10"/>
    <x v="2"/>
    <x v="1"/>
  </r>
  <r>
    <x v="77"/>
    <n v="1189"/>
    <n v="2199"/>
    <n v="1010"/>
    <x v="14"/>
    <x v="18"/>
    <x v="14"/>
    <x v="1"/>
    <x v="1"/>
  </r>
  <r>
    <x v="78"/>
    <n v="979"/>
    <n v="1920"/>
    <n v="941"/>
    <x v="15"/>
    <x v="18"/>
    <x v="8"/>
    <x v="0"/>
    <x v="1"/>
  </r>
  <r>
    <x v="79"/>
    <n v="1460"/>
    <n v="2290"/>
    <n v="830"/>
    <x v="39"/>
    <x v="14"/>
    <x v="10"/>
    <x v="2"/>
    <x v="0"/>
  </r>
  <r>
    <x v="80"/>
    <n v="1666"/>
    <n v="1699"/>
    <n v="33"/>
    <x v="30"/>
    <x v="14"/>
    <x v="10"/>
    <x v="2"/>
    <x v="2"/>
  </r>
  <r>
    <x v="81"/>
    <n v="330"/>
    <n v="647"/>
    <n v="317"/>
    <x v="15"/>
    <x v="18"/>
    <x v="5"/>
    <x v="1"/>
    <x v="1"/>
  </r>
  <r>
    <x v="42"/>
    <n v="610"/>
    <n v="1060"/>
    <n v="450"/>
    <x v="11"/>
    <x v="14"/>
    <x v="10"/>
    <x v="2"/>
    <x v="1"/>
  </r>
  <r>
    <x v="48"/>
    <n v="176"/>
    <n v="345"/>
    <n v="169"/>
    <x v="15"/>
    <x v="14"/>
    <x v="10"/>
    <x v="2"/>
    <x v="1"/>
  </r>
  <r>
    <x v="82"/>
    <n v="1466"/>
    <n v="1699"/>
    <n v="233"/>
    <x v="40"/>
    <x v="14"/>
    <x v="10"/>
    <x v="2"/>
    <x v="2"/>
  </r>
  <r>
    <x v="83"/>
    <n v="274"/>
    <n v="537"/>
    <n v="263"/>
    <x v="15"/>
    <x v="14"/>
    <x v="10"/>
    <x v="2"/>
    <x v="1"/>
  </r>
  <r>
    <x v="84"/>
    <n v="799"/>
    <n v="900"/>
    <n v="101"/>
    <x v="41"/>
    <x v="14"/>
    <x v="10"/>
    <x v="2"/>
    <x v="2"/>
  </r>
  <r>
    <x v="56"/>
    <n v="657"/>
    <n v="1288"/>
    <n v="631"/>
    <x v="15"/>
    <x v="14"/>
    <x v="10"/>
    <x v="2"/>
    <x v="1"/>
  </r>
  <r>
    <x v="85"/>
    <n v="1468"/>
    <n v="1699"/>
    <n v="231"/>
    <x v="40"/>
    <x v="14"/>
    <x v="10"/>
    <x v="2"/>
    <x v="2"/>
  </r>
  <r>
    <x v="86"/>
    <n v="630"/>
    <n v="1100"/>
    <n v="470"/>
    <x v="37"/>
    <x v="14"/>
    <x v="10"/>
    <x v="2"/>
    <x v="1"/>
  </r>
  <r>
    <x v="87"/>
    <n v="850"/>
    <n v="1700"/>
    <n v="850"/>
    <x v="29"/>
    <x v="14"/>
    <x v="10"/>
    <x v="2"/>
    <x v="1"/>
  </r>
  <r>
    <x v="88"/>
    <n v="1300"/>
    <n v="2500"/>
    <n v="1200"/>
    <x v="25"/>
    <x v="14"/>
    <x v="10"/>
    <x v="2"/>
    <x v="1"/>
  </r>
  <r>
    <x v="89"/>
    <n v="105"/>
    <n v="200"/>
    <n v="95"/>
    <x v="25"/>
    <x v="14"/>
    <x v="10"/>
    <x v="2"/>
    <x v="1"/>
  </r>
  <r>
    <x v="90"/>
    <n v="899"/>
    <n v="1699"/>
    <n v="800"/>
    <x v="1"/>
    <x v="14"/>
    <x v="10"/>
    <x v="2"/>
    <x v="1"/>
  </r>
  <r>
    <x v="90"/>
    <n v="899"/>
    <n v="1699"/>
    <n v="800"/>
    <x v="1"/>
    <x v="14"/>
    <x v="10"/>
    <x v="2"/>
    <x v="1"/>
  </r>
  <r>
    <x v="91"/>
    <n v="1200"/>
    <n v="2400"/>
    <n v="1200"/>
    <x v="29"/>
    <x v="14"/>
    <x v="10"/>
    <x v="2"/>
    <x v="1"/>
  </r>
  <r>
    <x v="92"/>
    <n v="1526"/>
    <n v="1660"/>
    <n v="134"/>
    <x v="42"/>
    <x v="14"/>
    <x v="10"/>
    <x v="2"/>
    <x v="2"/>
  </r>
  <r>
    <x v="93"/>
    <n v="1462"/>
    <n v="1499"/>
    <n v="37"/>
    <x v="30"/>
    <x v="14"/>
    <x v="10"/>
    <x v="2"/>
    <x v="2"/>
  </r>
  <r>
    <x v="94"/>
    <n v="248"/>
    <n v="486"/>
    <n v="238"/>
    <x v="15"/>
    <x v="14"/>
    <x v="10"/>
    <x v="2"/>
    <x v="1"/>
  </r>
  <r>
    <x v="95"/>
    <n v="3546"/>
    <n v="3699"/>
    <n v="153"/>
    <x v="38"/>
    <x v="14"/>
    <x v="10"/>
    <x v="2"/>
    <x v="2"/>
  </r>
  <r>
    <x v="96"/>
    <n v="525"/>
    <n v="1029"/>
    <n v="504"/>
    <x v="15"/>
    <x v="14"/>
    <x v="10"/>
    <x v="2"/>
    <x v="1"/>
  </r>
  <r>
    <x v="97"/>
    <n v="1080"/>
    <n v="1874"/>
    <n v="794"/>
    <x v="11"/>
    <x v="14"/>
    <x v="10"/>
    <x v="2"/>
    <x v="1"/>
  </r>
  <r>
    <x v="98"/>
    <n v="3640"/>
    <n v="4588"/>
    <n v="948"/>
    <x v="43"/>
    <x v="18"/>
    <x v="8"/>
    <x v="0"/>
    <x v="0"/>
  </r>
  <r>
    <x v="99"/>
    <n v="1420"/>
    <n v="2420"/>
    <n v="1000"/>
    <x v="28"/>
    <x v="14"/>
    <x v="10"/>
    <x v="2"/>
    <x v="1"/>
  </r>
  <r>
    <x v="100"/>
    <n v="1875"/>
    <n v="1899"/>
    <n v="24"/>
    <x v="44"/>
    <x v="14"/>
    <x v="10"/>
    <x v="2"/>
    <x v="2"/>
  </r>
  <r>
    <x v="101"/>
    <n v="198"/>
    <n v="260"/>
    <n v="62"/>
    <x v="6"/>
    <x v="14"/>
    <x v="10"/>
    <x v="2"/>
    <x v="0"/>
  </r>
  <r>
    <x v="102"/>
    <n v="1150"/>
    <n v="1737"/>
    <n v="587"/>
    <x v="10"/>
    <x v="14"/>
    <x v="10"/>
    <x v="2"/>
    <x v="0"/>
  </r>
  <r>
    <x v="103"/>
    <n v="1190"/>
    <n v="1810"/>
    <n v="620"/>
    <x v="10"/>
    <x v="14"/>
    <x v="10"/>
    <x v="2"/>
    <x v="0"/>
  </r>
  <r>
    <x v="104"/>
    <n v="1658"/>
    <n v="1699"/>
    <n v="41"/>
    <x v="30"/>
    <x v="14"/>
    <x v="10"/>
    <x v="2"/>
    <x v="2"/>
  </r>
  <r>
    <x v="105"/>
    <n v="1768"/>
    <n v="1799"/>
    <n v="31"/>
    <x v="30"/>
    <x v="14"/>
    <x v="10"/>
    <x v="2"/>
    <x v="2"/>
  </r>
  <r>
    <x v="106"/>
    <n v="199"/>
    <n v="553"/>
    <n v="354"/>
    <x v="45"/>
    <x v="14"/>
    <x v="10"/>
    <x v="2"/>
    <x v="1"/>
  </r>
  <r>
    <x v="107"/>
    <n v="450"/>
    <n v="900"/>
    <n v="450"/>
    <x v="29"/>
    <x v="18"/>
    <x v="22"/>
    <x v="2"/>
    <x v="1"/>
  </r>
  <r>
    <x v="108"/>
    <n v="169"/>
    <n v="320"/>
    <n v="151"/>
    <x v="1"/>
    <x v="14"/>
    <x v="10"/>
    <x v="2"/>
    <x v="1"/>
  </r>
  <r>
    <x v="109"/>
    <n v="1174.3565217391304"/>
    <n v="1797.0695652173913"/>
    <m/>
    <x v="46"/>
    <x v="14"/>
    <x v="23"/>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332"/>
    <n v="684"/>
    <n v="352"/>
    <n v="0.51"/>
    <n v="2"/>
    <x v="0"/>
    <s v="excellent"/>
    <s v="high discount"/>
  </r>
  <r>
    <x v="1"/>
    <n v="195"/>
    <n v="360"/>
    <n v="165"/>
    <n v="0.46"/>
    <n v="2"/>
    <x v="0"/>
    <s v="excellent"/>
    <s v="high discount"/>
  </r>
  <r>
    <x v="2"/>
    <n v="2025"/>
    <n v="3971"/>
    <n v="1946"/>
    <n v="0.49"/>
    <n v="3"/>
    <x v="0"/>
    <s v="excellent"/>
    <s v="high discount"/>
  </r>
  <r>
    <x v="3"/>
    <n v="1620"/>
    <n v="2690"/>
    <n v="1070"/>
    <n v="0.4"/>
    <n v="1"/>
    <x v="0"/>
    <s v="excellent"/>
    <s v="medium discount"/>
  </r>
  <r>
    <x v="4"/>
    <n v="171"/>
    <n v="360"/>
    <n v="189"/>
    <n v="0.53"/>
    <n v="2"/>
    <x v="0"/>
    <s v="excellent"/>
    <s v="high discount"/>
  </r>
  <r>
    <x v="5"/>
    <n v="979"/>
    <n v="1920"/>
    <n v="941"/>
    <n v="0.49"/>
    <n v="1"/>
    <x v="0"/>
    <s v="excellent"/>
    <s v="high discount"/>
  </r>
  <r>
    <x v="6"/>
    <n v="3640"/>
    <n v="4588"/>
    <n v="948"/>
    <n v="0.21"/>
    <n v="1"/>
    <x v="0"/>
    <s v="excellent"/>
    <s v="medium discount"/>
  </r>
  <r>
    <x v="7"/>
    <n v="1740"/>
    <n v="2356"/>
    <n v="616"/>
    <n v="0.26"/>
    <n v="5"/>
    <x v="1"/>
    <s v="excellent"/>
    <s v="medium discount"/>
  </r>
  <r>
    <x v="8"/>
    <n v="1274"/>
    <n v="2800"/>
    <n v="1526"/>
    <n v="0.55000000000000004"/>
    <n v="5"/>
    <x v="1"/>
    <s v="excellent"/>
    <s v="high discount"/>
  </r>
  <r>
    <x v="9"/>
    <n v="552"/>
    <n v="1035"/>
    <n v="483"/>
    <n v="0.47"/>
    <n v="12"/>
    <x v="1"/>
    <s v="excellent"/>
    <s v="high discou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e v="#REF!"/>
    <e v="#REF!"/>
    <m/>
    <x v="0"/>
    <n v="0"/>
    <x v="0"/>
    <m/>
    <e v="#REF!"/>
  </r>
  <r>
    <x v="1"/>
    <n v="445"/>
    <n v="873"/>
    <n v="428"/>
    <x v="1"/>
    <n v="69"/>
    <x v="1"/>
    <s v="poor"/>
    <s v="high discount"/>
  </r>
  <r>
    <x v="2"/>
    <n v="2319"/>
    <n v="3032"/>
    <n v="713"/>
    <x v="2"/>
    <n v="55"/>
    <x v="2"/>
    <s v="excellent"/>
    <s v="medium discount"/>
  </r>
  <r>
    <x v="3"/>
    <n v="420"/>
    <n v="647"/>
    <n v="227"/>
    <x v="3"/>
    <n v="49"/>
    <x v="2"/>
    <s v="excellent"/>
    <s v="medium discount"/>
  </r>
  <r>
    <x v="4"/>
    <n v="998"/>
    <n v="1966"/>
    <n v="968"/>
    <x v="1"/>
    <n v="44"/>
    <x v="2"/>
    <s v="excellent"/>
    <s v="high discount"/>
  </r>
  <r>
    <x v="5"/>
    <n v="990"/>
    <n v="1500"/>
    <n v="510"/>
    <x v="4"/>
    <n v="39"/>
    <x v="3"/>
    <s v="excellent"/>
    <s v="medium discount"/>
  </r>
  <r>
    <x v="6"/>
    <n v="389"/>
    <n v="656"/>
    <n v="267"/>
    <x v="5"/>
    <n v="36"/>
    <x v="4"/>
    <s v="average"/>
    <s v="high discount"/>
  </r>
  <r>
    <x v="7"/>
    <n v="1980"/>
    <n v="2699"/>
    <n v="719"/>
    <x v="6"/>
    <n v="32"/>
    <x v="5"/>
    <s v="average"/>
    <s v="medium discount"/>
  </r>
  <r>
    <x v="8"/>
    <n v="2199"/>
    <n v="2923"/>
    <n v="724"/>
    <x v="7"/>
    <n v="24"/>
    <x v="2"/>
    <s v="excellent"/>
    <s v="medium discount"/>
  </r>
  <r>
    <x v="9"/>
    <n v="1940"/>
    <n v="2650"/>
    <n v="710"/>
    <x v="6"/>
    <n v="20"/>
    <x v="3"/>
    <s v="excellent"/>
    <s v="medium discount"/>
  </r>
  <r>
    <x v="10"/>
    <n v="1758"/>
    <n v="2499"/>
    <n v="741"/>
    <x v="8"/>
    <n v="20"/>
    <x v="6"/>
    <s v="average"/>
    <s v="medium discoun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115"/>
    <n v="4700"/>
    <x v="0"/>
    <n v="0.55000000000000004"/>
    <n v="13"/>
    <n v="2.1"/>
    <s v="poor"/>
    <s v="high discount"/>
  </r>
  <r>
    <x v="1"/>
    <n v="2048"/>
    <n v="4500"/>
    <x v="1"/>
    <n v="0.54"/>
    <n v="7"/>
    <n v="4.3"/>
    <s v="average"/>
    <s v="high discount"/>
  </r>
  <r>
    <x v="2"/>
    <n v="3750"/>
    <n v="6143"/>
    <x v="2"/>
    <n v="0.39"/>
    <n v="5"/>
    <n v="3"/>
    <s v="average"/>
    <s v="medium discount"/>
  </r>
  <r>
    <x v="3"/>
    <n v="2025"/>
    <n v="3971"/>
    <x v="3"/>
    <n v="0.49"/>
    <n v="3"/>
    <n v="5"/>
    <s v="excellent"/>
    <s v="high discount"/>
  </r>
  <r>
    <x v="4"/>
    <n v="2200"/>
    <n v="4080"/>
    <x v="4"/>
    <n v="0.46"/>
    <m/>
    <m/>
    <s v="poor"/>
    <s v="high discount"/>
  </r>
  <r>
    <x v="5"/>
    <n v="2750"/>
    <n v="4471"/>
    <x v="5"/>
    <n v="0.38"/>
    <m/>
    <m/>
    <s v="poor"/>
    <s v="medium discount"/>
  </r>
  <r>
    <x v="6"/>
    <n v="1820"/>
    <n v="3490"/>
    <x v="6"/>
    <n v="0.48"/>
    <n v="9"/>
    <n v="4.3"/>
    <s v="average"/>
    <s v="high discount"/>
  </r>
  <r>
    <x v="7"/>
    <n v="1274"/>
    <n v="2800"/>
    <x v="7"/>
    <n v="0.55000000000000004"/>
    <n v="5"/>
    <n v="4.8"/>
    <s v="excellent"/>
    <s v="high discount"/>
  </r>
  <r>
    <x v="8"/>
    <n v="1570"/>
    <n v="2988"/>
    <x v="8"/>
    <n v="0.47"/>
    <n v="7"/>
    <n v="2.1"/>
    <s v="poor"/>
    <s v="high discount"/>
  </r>
  <r>
    <x v="9"/>
    <n v="1860"/>
    <n v="3220"/>
    <x v="9"/>
    <n v="0.42"/>
    <m/>
    <m/>
    <s v="poor"/>
    <s v="high discoun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2115"/>
    <n v="4700"/>
    <n v="2585"/>
    <n v="0.55000000000000004"/>
    <n v="13"/>
    <n v="2.1"/>
    <x v="0"/>
    <x v="0"/>
  </r>
  <r>
    <x v="1"/>
    <n v="2048"/>
    <n v="4500"/>
    <n v="2452"/>
    <n v="0.54"/>
    <n v="7"/>
    <n v="4.3"/>
    <x v="1"/>
    <x v="0"/>
  </r>
  <r>
    <x v="2"/>
    <n v="3750"/>
    <n v="6143"/>
    <n v="2393"/>
    <n v="0.39"/>
    <n v="5"/>
    <n v="3"/>
    <x v="1"/>
    <x v="1"/>
  </r>
  <r>
    <x v="3"/>
    <n v="2025"/>
    <n v="3971"/>
    <n v="1946"/>
    <n v="0.49"/>
    <n v="3"/>
    <n v="5"/>
    <x v="2"/>
    <x v="0"/>
  </r>
  <r>
    <x v="4"/>
    <n v="2200"/>
    <n v="4080"/>
    <n v="1880"/>
    <n v="0.46"/>
    <m/>
    <m/>
    <x v="0"/>
    <x v="0"/>
  </r>
  <r>
    <x v="5"/>
    <n v="2750"/>
    <n v="4471"/>
    <n v="1721"/>
    <n v="0.38"/>
    <m/>
    <m/>
    <x v="0"/>
    <x v="1"/>
  </r>
  <r>
    <x v="6"/>
    <n v="1820"/>
    <n v="3490"/>
    <n v="1670"/>
    <n v="0.48"/>
    <n v="9"/>
    <n v="4.3"/>
    <x v="1"/>
    <x v="0"/>
  </r>
  <r>
    <x v="7"/>
    <n v="1274"/>
    <n v="2800"/>
    <n v="1526"/>
    <n v="0.55000000000000004"/>
    <n v="5"/>
    <n v="4.8"/>
    <x v="2"/>
    <x v="0"/>
  </r>
  <r>
    <x v="8"/>
    <n v="1570"/>
    <n v="2988"/>
    <n v="1418"/>
    <n v="0.47"/>
    <n v="7"/>
    <n v="2.1"/>
    <x v="0"/>
    <x v="0"/>
  </r>
  <r>
    <x v="9"/>
    <n v="1860"/>
    <n v="3220"/>
    <n v="1360"/>
    <n v="0.42"/>
    <m/>
    <m/>
    <x v="0"/>
    <x v="0"/>
  </r>
  <r>
    <x v="10"/>
    <n v="1600"/>
    <n v="2929"/>
    <n v="1329"/>
    <n v="0.45"/>
    <n v="5"/>
    <n v="3.8"/>
    <x v="1"/>
    <x v="0"/>
  </r>
  <r>
    <x v="11"/>
    <n v="1300"/>
    <n v="2500"/>
    <n v="1200"/>
    <n v="0.48"/>
    <m/>
    <m/>
    <x v="0"/>
    <x v="0"/>
  </r>
  <r>
    <x v="12"/>
    <n v="1200"/>
    <n v="2400"/>
    <n v="1200"/>
    <n v="0.5"/>
    <m/>
    <m/>
    <x v="0"/>
    <x v="0"/>
  </r>
  <r>
    <x v="13"/>
    <n v="1620"/>
    <n v="2690"/>
    <n v="1070"/>
    <n v="0.4"/>
    <n v="1"/>
    <n v="5"/>
    <x v="2"/>
    <x v="1"/>
  </r>
  <r>
    <x v="14"/>
    <n v="2799"/>
    <n v="3810"/>
    <n v="1011"/>
    <n v="0.27"/>
    <m/>
    <m/>
    <x v="0"/>
    <x v="1"/>
  </r>
  <r>
    <x v="15"/>
    <n v="1189"/>
    <n v="2199"/>
    <n v="1010"/>
    <n v="0.46"/>
    <n v="1"/>
    <n v="3"/>
    <x v="1"/>
    <x v="0"/>
  </r>
  <r>
    <x v="16"/>
    <n v="999"/>
    <n v="2000"/>
    <n v="1001"/>
    <n v="0.5"/>
    <m/>
    <m/>
    <x v="0"/>
    <x v="0"/>
  </r>
  <r>
    <x v="17"/>
    <n v="1000"/>
    <n v="2000"/>
    <n v="1000"/>
    <n v="0.5"/>
    <n v="7"/>
    <n v="2.2999999999999998"/>
    <x v="0"/>
    <x v="0"/>
  </r>
  <r>
    <x v="18"/>
    <n v="1420"/>
    <n v="2420"/>
    <n v="1000"/>
    <n v="0.41"/>
    <m/>
    <m/>
    <x v="0"/>
    <x v="0"/>
  </r>
  <r>
    <x v="19"/>
    <n v="998"/>
    <n v="1966"/>
    <n v="968"/>
    <n v="0.49"/>
    <n v="44"/>
    <n v="4.5999999999999996"/>
    <x v="2"/>
    <x v="0"/>
  </r>
  <r>
    <x v="20"/>
    <n v="3640"/>
    <n v="4588"/>
    <n v="948"/>
    <n v="0.21"/>
    <n v="1"/>
    <n v="5"/>
    <x v="2"/>
    <x v="1"/>
  </r>
  <r>
    <x v="21"/>
    <n v="979"/>
    <n v="1920"/>
    <n v="941"/>
    <n v="0.49"/>
    <n v="1"/>
    <n v="5"/>
    <x v="2"/>
    <x v="0"/>
  </r>
  <r>
    <x v="22"/>
    <n v="2300"/>
    <n v="3240"/>
    <n v="940"/>
    <n v="0.28999999999999998"/>
    <n v="5"/>
    <n v="3"/>
    <x v="1"/>
    <x v="1"/>
  </r>
  <r>
    <x v="23"/>
    <n v="1580"/>
    <n v="2499"/>
    <n v="919"/>
    <n v="0.37"/>
    <n v="7"/>
    <n v="4.7"/>
    <x v="2"/>
    <x v="1"/>
  </r>
  <r>
    <x v="24"/>
    <n v="1800"/>
    <n v="2700"/>
    <n v="900"/>
    <n v="0.38"/>
    <n v="2"/>
    <n v="4.5"/>
    <x v="1"/>
    <x v="1"/>
  </r>
  <r>
    <x v="25"/>
    <n v="850"/>
    <n v="1700"/>
    <n v="850"/>
    <n v="0.5"/>
    <m/>
    <m/>
    <x v="0"/>
    <x v="0"/>
  </r>
  <r>
    <x v="26"/>
    <n v="968"/>
    <n v="1814"/>
    <n v="846"/>
    <n v="0.47"/>
    <n v="6"/>
    <n v="2.2000000000000002"/>
    <x v="0"/>
    <x v="0"/>
  </r>
  <r>
    <x v="27"/>
    <n v="1460"/>
    <n v="2290"/>
    <n v="830"/>
    <n v="0.36"/>
    <m/>
    <m/>
    <x v="0"/>
    <x v="1"/>
  </r>
  <r>
    <x v="28"/>
    <n v="990"/>
    <n v="1814"/>
    <n v="824"/>
    <n v="0.45"/>
    <n v="6"/>
    <n v="2.2000000000000002"/>
    <x v="0"/>
    <x v="0"/>
  </r>
  <r>
    <x v="29"/>
    <n v="1680"/>
    <n v="2499"/>
    <n v="819"/>
    <n v="0.33"/>
    <n v="9"/>
    <n v="4.2"/>
    <x v="1"/>
    <x v="1"/>
  </r>
  <r>
    <x v="30"/>
    <n v="899"/>
    <n v="1699"/>
    <n v="800"/>
    <n v="0.47"/>
    <m/>
    <m/>
    <x v="0"/>
    <x v="0"/>
  </r>
  <r>
    <x v="30"/>
    <n v="899"/>
    <n v="1699"/>
    <n v="800"/>
    <n v="0.47"/>
    <m/>
    <m/>
    <x v="0"/>
    <x v="0"/>
  </r>
  <r>
    <x v="31"/>
    <n v="1080"/>
    <n v="1874"/>
    <n v="794"/>
    <n v="0.42"/>
    <m/>
    <m/>
    <x v="0"/>
    <x v="0"/>
  </r>
  <r>
    <x v="32"/>
    <n v="799"/>
    <n v="1567"/>
    <n v="768"/>
    <n v="0.49"/>
    <m/>
    <m/>
    <x v="0"/>
    <x v="0"/>
  </r>
  <r>
    <x v="33"/>
    <n v="1200"/>
    <n v="1950"/>
    <n v="750"/>
    <n v="0.38"/>
    <m/>
    <m/>
    <x v="0"/>
    <x v="1"/>
  </r>
  <r>
    <x v="34"/>
    <n v="1758"/>
    <n v="2499"/>
    <n v="741"/>
    <n v="0.3"/>
    <n v="20"/>
    <n v="4.0999999999999996"/>
    <x v="1"/>
    <x v="1"/>
  </r>
  <r>
    <x v="35"/>
    <n v="2199"/>
    <n v="2923"/>
    <n v="724"/>
    <n v="0.25"/>
    <n v="24"/>
    <n v="4.5999999999999996"/>
    <x v="2"/>
    <x v="1"/>
  </r>
  <r>
    <x v="36"/>
    <n v="1980"/>
    <n v="2699"/>
    <n v="719"/>
    <n v="0.27"/>
    <n v="32"/>
    <n v="4.5"/>
    <x v="1"/>
    <x v="1"/>
  </r>
  <r>
    <x v="37"/>
    <n v="2319"/>
    <n v="3032"/>
    <n v="713"/>
    <n v="0.24"/>
    <n v="55"/>
    <n v="4.5999999999999996"/>
    <x v="2"/>
    <x v="1"/>
  </r>
  <r>
    <x v="38"/>
    <n v="1940"/>
    <n v="2650"/>
    <n v="710"/>
    <n v="0.27"/>
    <n v="20"/>
    <n v="4.7"/>
    <x v="2"/>
    <x v="1"/>
  </r>
  <r>
    <x v="39"/>
    <n v="2999"/>
    <n v="3699"/>
    <n v="700"/>
    <n v="0.19"/>
    <n v="5"/>
    <n v="4.5999999999999996"/>
    <x v="2"/>
    <x v="2"/>
  </r>
  <r>
    <x v="40"/>
    <n v="790"/>
    <n v="1485"/>
    <n v="695"/>
    <n v="0.47"/>
    <m/>
    <m/>
    <x v="0"/>
    <x v="0"/>
  </r>
  <r>
    <x v="41"/>
    <n v="671"/>
    <n v="1316"/>
    <n v="645"/>
    <n v="0.49"/>
    <m/>
    <m/>
    <x v="0"/>
    <x v="0"/>
  </r>
  <r>
    <x v="42"/>
    <n v="699"/>
    <n v="1343"/>
    <n v="644"/>
    <n v="0.48"/>
    <m/>
    <m/>
    <x v="0"/>
    <x v="0"/>
  </r>
  <r>
    <x v="43"/>
    <n v="1350"/>
    <n v="1990"/>
    <n v="640"/>
    <n v="0.32"/>
    <n v="13"/>
    <n v="3.8"/>
    <x v="1"/>
    <x v="1"/>
  </r>
  <r>
    <x v="44"/>
    <n v="2880"/>
    <n v="3520"/>
    <n v="640"/>
    <n v="0.18"/>
    <n v="12"/>
    <n v="3.8"/>
    <x v="1"/>
    <x v="2"/>
  </r>
  <r>
    <x v="32"/>
    <n v="657"/>
    <n v="1288"/>
    <n v="631"/>
    <n v="0.49"/>
    <m/>
    <m/>
    <x v="0"/>
    <x v="0"/>
  </r>
  <r>
    <x v="45"/>
    <n v="1190"/>
    <n v="1810"/>
    <n v="620"/>
    <n v="0.34"/>
    <m/>
    <m/>
    <x v="0"/>
    <x v="1"/>
  </r>
  <r>
    <x v="46"/>
    <n v="1740"/>
    <n v="2356"/>
    <n v="616"/>
    <n v="0.26"/>
    <n v="5"/>
    <n v="4.8"/>
    <x v="2"/>
    <x v="1"/>
  </r>
  <r>
    <x v="47"/>
    <n v="1190"/>
    <n v="1785"/>
    <n v="595"/>
    <n v="0.33"/>
    <m/>
    <m/>
    <x v="0"/>
    <x v="1"/>
  </r>
  <r>
    <x v="48"/>
    <n v="988"/>
    <n v="1580"/>
    <n v="592"/>
    <n v="0.37"/>
    <n v="2"/>
    <n v="4"/>
    <x v="1"/>
    <x v="1"/>
  </r>
  <r>
    <x v="49"/>
    <n v="1150"/>
    <n v="1737"/>
    <n v="587"/>
    <n v="0.34"/>
    <m/>
    <m/>
    <x v="0"/>
    <x v="1"/>
  </r>
  <r>
    <x v="50"/>
    <n v="950"/>
    <n v="1525"/>
    <n v="575"/>
    <n v="0.38"/>
    <n v="2"/>
    <n v="4.5"/>
    <x v="2"/>
    <x v="1"/>
  </r>
  <r>
    <x v="51"/>
    <n v="799"/>
    <n v="1343"/>
    <n v="544"/>
    <n v="0.41"/>
    <m/>
    <m/>
    <x v="0"/>
    <x v="0"/>
  </r>
  <r>
    <x v="52"/>
    <n v="458"/>
    <n v="986"/>
    <n v="528"/>
    <n v="0.54"/>
    <n v="10"/>
    <n v="3"/>
    <x v="1"/>
    <x v="0"/>
  </r>
  <r>
    <x v="53"/>
    <n v="990"/>
    <n v="1500"/>
    <n v="510"/>
    <n v="0.34"/>
    <n v="39"/>
    <n v="4.7"/>
    <x v="2"/>
    <x v="1"/>
  </r>
  <r>
    <x v="54"/>
    <n v="980"/>
    <n v="1490"/>
    <n v="510"/>
    <n v="0.34"/>
    <n v="12"/>
    <n v="4.7"/>
    <x v="2"/>
    <x v="1"/>
  </r>
  <r>
    <x v="55"/>
    <n v="690"/>
    <n v="1200"/>
    <n v="510"/>
    <n v="0.43"/>
    <m/>
    <m/>
    <x v="0"/>
    <x v="0"/>
  </r>
  <r>
    <x v="56"/>
    <n v="525"/>
    <n v="1029"/>
    <n v="504"/>
    <n v="0.49"/>
    <m/>
    <m/>
    <x v="0"/>
    <x v="0"/>
  </r>
  <r>
    <x v="57"/>
    <n v="1650"/>
    <n v="2150"/>
    <n v="500"/>
    <n v="0.23"/>
    <n v="14"/>
    <n v="4.4000000000000004"/>
    <x v="1"/>
    <x v="1"/>
  </r>
  <r>
    <x v="58"/>
    <n v="399"/>
    <n v="896"/>
    <n v="497"/>
    <n v="0.55000000000000004"/>
    <m/>
    <m/>
    <x v="0"/>
    <x v="0"/>
  </r>
  <r>
    <x v="59"/>
    <n v="552"/>
    <n v="1035"/>
    <n v="483"/>
    <n v="0.47"/>
    <n v="12"/>
    <n v="4.8"/>
    <x v="2"/>
    <x v="0"/>
  </r>
  <r>
    <x v="60"/>
    <n v="527"/>
    <n v="999"/>
    <n v="472"/>
    <n v="0.47"/>
    <n v="14"/>
    <n v="4.0999999999999996"/>
    <x v="1"/>
    <x v="0"/>
  </r>
  <r>
    <x v="61"/>
    <n v="880"/>
    <n v="1350"/>
    <n v="470"/>
    <n v="0.35"/>
    <n v="6"/>
    <n v="4"/>
    <x v="1"/>
    <x v="1"/>
  </r>
  <r>
    <x v="62"/>
    <n v="630"/>
    <n v="1100"/>
    <n v="470"/>
    <n v="0.43"/>
    <m/>
    <m/>
    <x v="0"/>
    <x v="0"/>
  </r>
  <r>
    <x v="63"/>
    <n v="475"/>
    <n v="931"/>
    <n v="456"/>
    <n v="0.49"/>
    <m/>
    <m/>
    <x v="0"/>
    <x v="0"/>
  </r>
  <r>
    <x v="64"/>
    <n v="450"/>
    <n v="900"/>
    <n v="450"/>
    <n v="0.5"/>
    <n v="1"/>
    <n v="2"/>
    <x v="0"/>
    <x v="0"/>
  </r>
  <r>
    <x v="65"/>
    <n v="610"/>
    <n v="1060"/>
    <n v="450"/>
    <n v="0.42"/>
    <m/>
    <m/>
    <x v="0"/>
    <x v="0"/>
  </r>
  <r>
    <x v="65"/>
    <n v="610"/>
    <n v="1060"/>
    <n v="450"/>
    <n v="0.42"/>
    <m/>
    <m/>
    <x v="0"/>
    <x v="0"/>
  </r>
  <r>
    <x v="65"/>
    <n v="610"/>
    <n v="1060"/>
    <n v="450"/>
    <n v="0.42"/>
    <m/>
    <m/>
    <x v="0"/>
    <x v="0"/>
  </r>
  <r>
    <x v="66"/>
    <n v="445"/>
    <n v="873"/>
    <n v="428"/>
    <n v="0.49"/>
    <n v="69"/>
    <n v="2.8"/>
    <x v="0"/>
    <x v="0"/>
  </r>
  <r>
    <x v="58"/>
    <n v="499"/>
    <n v="900"/>
    <n v="401"/>
    <n v="0.45"/>
    <m/>
    <m/>
    <x v="0"/>
    <x v="0"/>
  </r>
  <r>
    <x v="67"/>
    <n v="509"/>
    <n v="899"/>
    <n v="390"/>
    <n v="0.43"/>
    <n v="5"/>
    <n v="3"/>
    <x v="1"/>
    <x v="0"/>
  </r>
  <r>
    <x v="68"/>
    <n v="501"/>
    <n v="860"/>
    <n v="359"/>
    <n v="0.42"/>
    <n v="6"/>
    <n v="4.5"/>
    <x v="1"/>
    <x v="0"/>
  </r>
  <r>
    <x v="69"/>
    <n v="325"/>
    <n v="680"/>
    <n v="355"/>
    <n v="0.52"/>
    <n v="15"/>
    <n v="2.7"/>
    <x v="0"/>
    <x v="0"/>
  </r>
  <r>
    <x v="70"/>
    <n v="199"/>
    <n v="553"/>
    <n v="354"/>
    <n v="0.64"/>
    <m/>
    <m/>
    <x v="0"/>
    <x v="0"/>
  </r>
  <r>
    <x v="71"/>
    <n v="332"/>
    <n v="684"/>
    <n v="352"/>
    <n v="0.51"/>
    <n v="2"/>
    <n v="5"/>
    <x v="2"/>
    <x v="0"/>
  </r>
  <r>
    <x v="72"/>
    <n v="1220"/>
    <n v="1555"/>
    <n v="335"/>
    <n v="0.22"/>
    <n v="16"/>
    <n v="2.9"/>
    <x v="0"/>
    <x v="1"/>
  </r>
  <r>
    <x v="73"/>
    <n v="2170"/>
    <n v="2500"/>
    <n v="330"/>
    <n v="0.13"/>
    <n v="6"/>
    <n v="2.5"/>
    <x v="0"/>
    <x v="2"/>
  </r>
  <r>
    <x v="74"/>
    <n v="382"/>
    <n v="700"/>
    <n v="318"/>
    <n v="0.45"/>
    <n v="17"/>
    <n v="2.6"/>
    <x v="0"/>
    <x v="0"/>
  </r>
  <r>
    <x v="75"/>
    <n v="330"/>
    <n v="647"/>
    <n v="317"/>
    <n v="0.49"/>
    <n v="1"/>
    <n v="4"/>
    <x v="1"/>
    <x v="0"/>
  </r>
  <r>
    <x v="76"/>
    <n v="199"/>
    <n v="504"/>
    <n v="305"/>
    <n v="0.61"/>
    <m/>
    <m/>
    <x v="0"/>
    <x v="0"/>
  </r>
  <r>
    <x v="77"/>
    <n v="299"/>
    <n v="600"/>
    <n v="301"/>
    <n v="0.5"/>
    <m/>
    <m/>
    <x v="0"/>
    <x v="0"/>
  </r>
  <r>
    <x v="78"/>
    <n v="2999"/>
    <n v="3290"/>
    <n v="291"/>
    <n v="0.09"/>
    <n v="15"/>
    <n v="4"/>
    <x v="1"/>
    <x v="2"/>
  </r>
  <r>
    <x v="79"/>
    <n v="389"/>
    <n v="656"/>
    <n v="267"/>
    <n v="0.41"/>
    <n v="36"/>
    <n v="4.3"/>
    <x v="1"/>
    <x v="0"/>
  </r>
  <r>
    <x v="80"/>
    <n v="274"/>
    <n v="537"/>
    <n v="263"/>
    <n v="0.49"/>
    <m/>
    <m/>
    <x v="0"/>
    <x v="0"/>
  </r>
  <r>
    <x v="81"/>
    <n v="345"/>
    <n v="602"/>
    <n v="257"/>
    <n v="0.43"/>
    <n v="6"/>
    <n v="2.2999999999999998"/>
    <x v="0"/>
    <x v="0"/>
  </r>
  <r>
    <x v="82"/>
    <n v="238"/>
    <n v="476"/>
    <n v="238"/>
    <n v="0.5"/>
    <m/>
    <m/>
    <x v="0"/>
    <x v="0"/>
  </r>
  <r>
    <x v="83"/>
    <n v="248"/>
    <n v="486"/>
    <n v="238"/>
    <n v="0.49"/>
    <m/>
    <m/>
    <x v="0"/>
    <x v="0"/>
  </r>
  <r>
    <x v="84"/>
    <n v="1466"/>
    <n v="1699"/>
    <n v="233"/>
    <n v="0.14000000000000001"/>
    <m/>
    <m/>
    <x v="0"/>
    <x v="2"/>
  </r>
  <r>
    <x v="85"/>
    <n v="1468"/>
    <n v="1699"/>
    <n v="231"/>
    <n v="0.14000000000000001"/>
    <m/>
    <m/>
    <x v="0"/>
    <x v="2"/>
  </r>
  <r>
    <x v="86"/>
    <n v="420"/>
    <n v="647"/>
    <n v="227"/>
    <n v="0.35"/>
    <n v="49"/>
    <n v="4.5999999999999996"/>
    <x v="2"/>
    <x v="1"/>
  </r>
  <r>
    <x v="87"/>
    <n v="230"/>
    <n v="450"/>
    <n v="220"/>
    <n v="0.49"/>
    <m/>
    <m/>
    <x v="0"/>
    <x v="0"/>
  </r>
  <r>
    <x v="88"/>
    <n v="799"/>
    <n v="999"/>
    <n v="200"/>
    <n v="0.2"/>
    <n v="12"/>
    <n v="4.0999999999999996"/>
    <x v="1"/>
    <x v="1"/>
  </r>
  <r>
    <x v="89"/>
    <n v="185"/>
    <n v="382"/>
    <n v="197"/>
    <n v="0.52"/>
    <n v="9"/>
    <n v="4.3"/>
    <x v="1"/>
    <x v="0"/>
  </r>
  <r>
    <x v="90"/>
    <n v="171"/>
    <n v="360"/>
    <n v="189"/>
    <n v="0.53"/>
    <n v="2"/>
    <n v="5"/>
    <x v="2"/>
    <x v="0"/>
  </r>
  <r>
    <x v="76"/>
    <n v="176"/>
    <n v="345"/>
    <n v="169"/>
    <n v="0.49"/>
    <m/>
    <m/>
    <x v="0"/>
    <x v="0"/>
  </r>
  <r>
    <x v="91"/>
    <n v="195"/>
    <n v="360"/>
    <n v="165"/>
    <n v="0.46"/>
    <n v="2"/>
    <n v="5"/>
    <x v="2"/>
    <x v="0"/>
  </r>
  <r>
    <x v="92"/>
    <n v="3546"/>
    <n v="3699"/>
    <n v="153"/>
    <n v="0.04"/>
    <m/>
    <m/>
    <x v="0"/>
    <x v="2"/>
  </r>
  <r>
    <x v="93"/>
    <n v="169"/>
    <n v="320"/>
    <n v="151"/>
    <n v="0.47"/>
    <m/>
    <m/>
    <x v="0"/>
    <x v="0"/>
  </r>
  <r>
    <x v="94"/>
    <n v="1526"/>
    <n v="1660"/>
    <n v="134"/>
    <n v="0.08"/>
    <m/>
    <m/>
    <x v="0"/>
    <x v="2"/>
  </r>
  <r>
    <x v="95"/>
    <n v="799"/>
    <n v="900"/>
    <n v="101"/>
    <n v="0.11"/>
    <m/>
    <m/>
    <x v="0"/>
    <x v="2"/>
  </r>
  <r>
    <x v="96"/>
    <n v="105"/>
    <n v="200"/>
    <n v="95"/>
    <n v="0.48"/>
    <m/>
    <m/>
    <x v="0"/>
    <x v="0"/>
  </r>
  <r>
    <x v="97"/>
    <n v="299"/>
    <n v="384"/>
    <n v="85"/>
    <n v="0.22"/>
    <m/>
    <m/>
    <x v="0"/>
    <x v="1"/>
  </r>
  <r>
    <x v="98"/>
    <n v="1732"/>
    <n v="1799"/>
    <n v="67"/>
    <n v="0.04"/>
    <m/>
    <m/>
    <x v="0"/>
    <x v="2"/>
  </r>
  <r>
    <x v="99"/>
    <n v="198"/>
    <n v="260"/>
    <n v="62"/>
    <n v="0.24"/>
    <m/>
    <m/>
    <x v="0"/>
    <x v="1"/>
  </r>
  <r>
    <x v="100"/>
    <n v="38"/>
    <n v="80"/>
    <n v="42"/>
    <n v="0.53"/>
    <n v="13"/>
    <n v="3.3"/>
    <x v="1"/>
    <x v="0"/>
  </r>
  <r>
    <x v="101"/>
    <n v="1658"/>
    <n v="1699"/>
    <n v="41"/>
    <n v="0.02"/>
    <m/>
    <m/>
    <x v="0"/>
    <x v="2"/>
  </r>
  <r>
    <x v="102"/>
    <n v="1459"/>
    <n v="1499"/>
    <n v="40"/>
    <n v="0.03"/>
    <m/>
    <m/>
    <x v="0"/>
    <x v="2"/>
  </r>
  <r>
    <x v="103"/>
    <n v="1660"/>
    <n v="1699"/>
    <n v="39"/>
    <n v="0.02"/>
    <m/>
    <m/>
    <x v="0"/>
    <x v="2"/>
  </r>
  <r>
    <x v="104"/>
    <n v="2132"/>
    <n v="2169"/>
    <n v="37"/>
    <n v="0.02"/>
    <m/>
    <m/>
    <x v="0"/>
    <x v="2"/>
  </r>
  <r>
    <x v="105"/>
    <n v="1462"/>
    <n v="1499"/>
    <n v="37"/>
    <n v="0.02"/>
    <m/>
    <m/>
    <x v="0"/>
    <x v="2"/>
  </r>
  <r>
    <x v="106"/>
    <n v="1666"/>
    <n v="1699"/>
    <n v="33"/>
    <n v="0.02"/>
    <m/>
    <m/>
    <x v="0"/>
    <x v="2"/>
  </r>
  <r>
    <x v="107"/>
    <n v="1768"/>
    <n v="1799"/>
    <n v="31"/>
    <n v="0.02"/>
    <m/>
    <m/>
    <x v="0"/>
    <x v="2"/>
  </r>
  <r>
    <x v="108"/>
    <n v="1875"/>
    <n v="1899"/>
    <n v="24"/>
    <n v="0.01"/>
    <m/>
    <m/>
    <x v="0"/>
    <x v="3"/>
  </r>
  <r>
    <x v="109"/>
    <e v="#REF!"/>
    <e v="#REF!"/>
    <m/>
    <e v="#REF!"/>
    <n v="0"/>
    <e v="#REF!"/>
    <x v="3"/>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50"/>
    <n v="900"/>
    <n v="450"/>
    <n v="0.5"/>
    <n v="1"/>
    <x v="0"/>
    <s v="poor"/>
    <s v="high discount"/>
  </r>
  <r>
    <x v="1"/>
    <n v="2115"/>
    <n v="4700"/>
    <n v="2585"/>
    <n v="0.55000000000000004"/>
    <n v="13"/>
    <x v="1"/>
    <s v="poor"/>
    <s v="high discount"/>
  </r>
  <r>
    <x v="2"/>
    <n v="1570"/>
    <n v="2988"/>
    <n v="1418"/>
    <n v="0.47"/>
    <n v="7"/>
    <x v="1"/>
    <s v="poor"/>
    <s v="high discount"/>
  </r>
  <r>
    <x v="3"/>
    <n v="968"/>
    <n v="1814"/>
    <n v="846"/>
    <n v="0.47"/>
    <n v="6"/>
    <x v="2"/>
    <s v="poor"/>
    <s v="high discount"/>
  </r>
  <r>
    <x v="4"/>
    <n v="990"/>
    <n v="1814"/>
    <n v="824"/>
    <n v="0.45"/>
    <n v="6"/>
    <x v="2"/>
    <s v="poor"/>
    <s v="high discount"/>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025"/>
    <n v="3971"/>
    <n v="1946"/>
    <n v="0.49"/>
    <n v="3"/>
    <n v="5"/>
    <s v="excellent"/>
    <s v="high discount"/>
  </r>
  <r>
    <x v="1"/>
    <n v="1620"/>
    <n v="2690"/>
    <n v="1070"/>
    <n v="0.4"/>
    <n v="1"/>
    <n v="5"/>
    <s v="excellent"/>
    <s v="medium discount"/>
  </r>
  <r>
    <x v="2"/>
    <n v="3640"/>
    <n v="4588"/>
    <n v="948"/>
    <n v="0.21"/>
    <n v="1"/>
    <n v="5"/>
    <s v="excellent"/>
    <s v="medium discount"/>
  </r>
  <r>
    <x v="3"/>
    <n v="979"/>
    <n v="1920"/>
    <n v="941"/>
    <n v="0.49"/>
    <n v="1"/>
    <n v="5"/>
    <s v="excellent"/>
    <s v="high discount"/>
  </r>
  <r>
    <x v="4"/>
    <n v="332"/>
    <n v="684"/>
    <n v="352"/>
    <n v="0.51"/>
    <n v="2"/>
    <n v="5"/>
    <s v="excellent"/>
    <s v="high discount"/>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LASA Aluminum Folding Truck Hand Cart - 68kg Max"/>
    <n v="2025"/>
    <n v="3971"/>
    <x v="0"/>
    <x v="0"/>
    <n v="3"/>
    <x v="0"/>
    <x v="0"/>
    <x v="0"/>
  </r>
  <r>
    <s v="DIY File Folder, Office Drawer File Holder, Pen Holder, Desktop Storage Rack"/>
    <n v="1620"/>
    <n v="2690"/>
    <x v="1"/>
    <x v="1"/>
    <n v="1"/>
    <x v="0"/>
    <x v="0"/>
    <x v="1"/>
  </r>
  <r>
    <s v="Konka Healty Electric Kettle, 24-hour Heat Preservation,1.5L,800W, White"/>
    <n v="3640"/>
    <n v="4588"/>
    <x v="2"/>
    <x v="2"/>
    <n v="1"/>
    <x v="0"/>
    <x v="0"/>
    <x v="1"/>
  </r>
  <r>
    <s v="Bedroom Simple Floor Hanging Clothes Rack Single Pole Hat Rack - White"/>
    <n v="979"/>
    <n v="1920"/>
    <x v="3"/>
    <x v="0"/>
    <n v="1"/>
    <x v="0"/>
    <x v="0"/>
    <x v="0"/>
  </r>
  <r>
    <s v="Anti-Skid Absorbent Insulation Coaster  For Home Office"/>
    <n v="332"/>
    <n v="684"/>
    <x v="4"/>
    <x v="3"/>
    <n v="2"/>
    <x v="0"/>
    <x v="0"/>
    <x v="0"/>
  </r>
  <r>
    <s v="Classic Black Cat Cotton Hemp Pillow Case For Home Car"/>
    <n v="171"/>
    <n v="360"/>
    <x v="5"/>
    <x v="4"/>
    <n v="2"/>
    <x v="0"/>
    <x v="0"/>
    <x v="0"/>
  </r>
  <r>
    <s v="Peacock  Throw Pillow Cushion Case For Home Car"/>
    <n v="195"/>
    <n v="360"/>
    <x v="6"/>
    <x v="5"/>
    <n v="2"/>
    <x v="0"/>
    <x v="0"/>
    <x v="0"/>
  </r>
  <r>
    <s v="LASA FOLDING TABLE SERVING STAND"/>
    <n v="1274"/>
    <n v="2800"/>
    <x v="7"/>
    <x v="6"/>
    <n v="5"/>
    <x v="1"/>
    <x v="0"/>
    <x v="0"/>
  </r>
  <r>
    <s v="Portable Home Small Air Humidifier 3-Speed Fan - Green"/>
    <n v="1740"/>
    <n v="2356"/>
    <x v="8"/>
    <x v="7"/>
    <n v="5"/>
    <x v="1"/>
    <x v="0"/>
    <x v="1"/>
  </r>
  <r>
    <s v="40cm Gold DIY Acrylic Wall Sticker Clock"/>
    <n v="552"/>
    <n v="1035"/>
    <x v="9"/>
    <x v="8"/>
    <n v="12"/>
    <x v="1"/>
    <x v="0"/>
    <x v="0"/>
  </r>
  <r>
    <s v="Weighing Scale Digital Bathroom Body Fat Scale USB-Black"/>
    <n v="1580"/>
    <n v="2499"/>
    <x v="10"/>
    <x v="9"/>
    <n v="7"/>
    <x v="2"/>
    <x v="0"/>
    <x v="1"/>
  </r>
  <r>
    <s v="53Pcs/Set Yarn Knitting Crochet Hooks With Bag - Fortune Cat"/>
    <n v="1940"/>
    <n v="2650"/>
    <x v="11"/>
    <x v="10"/>
    <n v="20"/>
    <x v="2"/>
    <x v="0"/>
    <x v="1"/>
  </r>
  <r>
    <s v="100 Pcs Crochet Hook Tool Set Knitting Hook Set With Box"/>
    <n v="990"/>
    <n v="1500"/>
    <x v="12"/>
    <x v="11"/>
    <n v="39"/>
    <x v="2"/>
    <x v="0"/>
    <x v="1"/>
  </r>
  <r>
    <s v="12 Litre Insulated Lunch Box Grey"/>
    <n v="980"/>
    <n v="1490"/>
    <x v="12"/>
    <x v="11"/>
    <n v="12"/>
    <x v="2"/>
    <x v="0"/>
    <x v="1"/>
  </r>
  <r>
    <s v="3D Waterproof EVA Plastic Shower Curtain 1.8*2Mtrs"/>
    <n v="998"/>
    <n v="1966"/>
    <x v="13"/>
    <x v="0"/>
    <n v="44"/>
    <x v="3"/>
    <x v="0"/>
    <x v="0"/>
  </r>
  <r>
    <s v="Portable Mini Cordless Car Vacuum Cleaner - Blue"/>
    <n v="2199"/>
    <n v="2923"/>
    <x v="14"/>
    <x v="12"/>
    <n v="24"/>
    <x v="3"/>
    <x v="0"/>
    <x v="1"/>
  </r>
  <r>
    <s v="137 Pieces Cake Decorating Tool Set Baking Supplies"/>
    <n v="2319"/>
    <n v="3032"/>
    <x v="15"/>
    <x v="13"/>
    <n v="55"/>
    <x v="3"/>
    <x v="0"/>
    <x v="1"/>
  </r>
  <r>
    <s v="LED Wall Digital Alarm Clock Study Home 12 / 24H Clock Calendar"/>
    <n v="2999"/>
    <n v="3699"/>
    <x v="16"/>
    <x v="14"/>
    <n v="5"/>
    <x v="3"/>
    <x v="0"/>
    <x v="2"/>
  </r>
  <r>
    <s v="Electronic Digital Display Vernier Caliper"/>
    <n v="420"/>
    <n v="647"/>
    <x v="17"/>
    <x v="15"/>
    <n v="49"/>
    <x v="3"/>
    <x v="0"/>
    <x v="1"/>
  </r>
  <r>
    <s v="1/2/3 Seater Elastic Sofa Cover,Living Room/Home Decor Chair Cover-Grey"/>
    <n v="1800"/>
    <n v="2700"/>
    <x v="18"/>
    <x v="16"/>
    <n v="2"/>
    <x v="4"/>
    <x v="1"/>
    <x v="1"/>
  </r>
  <r>
    <s v="53 Pieces/Set Yarn Knitting Crochet Hooks With Bag - Pansies"/>
    <n v="1980"/>
    <n v="2699"/>
    <x v="19"/>
    <x v="10"/>
    <n v="32"/>
    <x v="4"/>
    <x v="1"/>
    <x v="1"/>
  </r>
  <r>
    <s v="115  Piece Set Of Multifunctional Precision Screwdrivers"/>
    <n v="950"/>
    <n v="1525"/>
    <x v="20"/>
    <x v="16"/>
    <n v="2"/>
    <x v="4"/>
    <x v="0"/>
    <x v="1"/>
  </r>
  <r>
    <s v="LASA Digital Thermometer And Hydrometer"/>
    <n v="501"/>
    <n v="860"/>
    <x v="21"/>
    <x v="17"/>
    <n v="6"/>
    <x v="4"/>
    <x v="1"/>
    <x v="0"/>
  </r>
  <r>
    <s v="Foldable Overbed Table/Desk"/>
    <n v="1650"/>
    <n v="2150"/>
    <x v="22"/>
    <x v="18"/>
    <n v="14"/>
    <x v="5"/>
    <x v="1"/>
    <x v="1"/>
  </r>
  <r>
    <s v="LASA 3 Tier Bamboo Shoe Bench Storage Shelf"/>
    <n v="2048"/>
    <n v="4500"/>
    <x v="23"/>
    <x v="19"/>
    <n v="7"/>
    <x v="6"/>
    <x v="1"/>
    <x v="0"/>
  </r>
  <r>
    <s v="LED Eye Protection  Desk Lamp , Study, Reading, USB Fan - Double Pen Holder"/>
    <n v="1820"/>
    <n v="3490"/>
    <x v="24"/>
    <x v="20"/>
    <n v="9"/>
    <x v="6"/>
    <x v="1"/>
    <x v="0"/>
  </r>
  <r>
    <s v="Punch-free Great Load Bearing Bathroom Storage Rack Wall Shelf-White"/>
    <n v="389"/>
    <n v="656"/>
    <x v="25"/>
    <x v="21"/>
    <n v="36"/>
    <x v="6"/>
    <x v="1"/>
    <x v="0"/>
  </r>
  <r>
    <s v="Exfoliate And Exfoliate Face Towel - Black"/>
    <n v="185"/>
    <n v="382"/>
    <x v="26"/>
    <x v="22"/>
    <n v="9"/>
    <x v="6"/>
    <x v="1"/>
    <x v="0"/>
  </r>
  <r>
    <s v="Multifunction Laser Level With Adjustment Tripod"/>
    <n v="1680"/>
    <n v="2499"/>
    <x v="27"/>
    <x v="23"/>
    <n v="9"/>
    <x v="7"/>
    <x v="1"/>
    <x v="1"/>
  </r>
  <r>
    <s v="52 Pieces Cake Decorating Tool Set Gift Kit Baking Supplies"/>
    <n v="1758"/>
    <n v="2499"/>
    <x v="28"/>
    <x v="24"/>
    <n v="20"/>
    <x v="8"/>
    <x v="1"/>
    <x v="1"/>
  </r>
  <r>
    <s v="Metal Decorative Hooks Key Hangers Entryway Wall Hooks Towel Hooks - Home"/>
    <n v="527"/>
    <n v="999"/>
    <x v="29"/>
    <x v="8"/>
    <n v="14"/>
    <x v="8"/>
    <x v="1"/>
    <x v="0"/>
  </r>
  <r>
    <s v="Genebre 115 In 1 Screwdriver Repairing Tool Set For IPhone Cellphone Hand Tool"/>
    <n v="799"/>
    <n v="999"/>
    <x v="30"/>
    <x v="25"/>
    <n v="12"/>
    <x v="8"/>
    <x v="1"/>
    <x v="1"/>
  </r>
  <r>
    <s v="Desk Foldable Fan Adjustable Fan Strong Wind 3 Gear Usb"/>
    <n v="988"/>
    <n v="1580"/>
    <x v="31"/>
    <x v="9"/>
    <n v="2"/>
    <x v="9"/>
    <x v="1"/>
    <x v="1"/>
  </r>
  <r>
    <s v="LED Romantic Spaceship Starry Sky Projector,Children's Bedroom Night Light-Blue"/>
    <n v="880"/>
    <n v="1350"/>
    <x v="32"/>
    <x v="15"/>
    <n v="6"/>
    <x v="9"/>
    <x v="1"/>
    <x v="1"/>
  </r>
  <r>
    <s v="Household Pineapple Peeler Peeler"/>
    <n v="330"/>
    <n v="647"/>
    <x v="33"/>
    <x v="0"/>
    <n v="1"/>
    <x v="9"/>
    <x v="1"/>
    <x v="0"/>
  </r>
  <r>
    <s v="220V 60W Electric Soldering Iron Kits With Tools, Tips, And Multimeter"/>
    <n v="2999"/>
    <n v="3290"/>
    <x v="34"/>
    <x v="26"/>
    <n v="15"/>
    <x v="9"/>
    <x v="1"/>
    <x v="2"/>
  </r>
  <r>
    <s v="13 In 1 Home Repair Tools Box Kit Set"/>
    <n v="1600"/>
    <n v="2929"/>
    <x v="35"/>
    <x v="27"/>
    <n v="5"/>
    <x v="10"/>
    <x v="1"/>
    <x v="0"/>
  </r>
  <r>
    <s v="12 Litre Black Insulated Lunch Box"/>
    <n v="1350"/>
    <n v="1990"/>
    <x v="36"/>
    <x v="28"/>
    <n v="13"/>
    <x v="10"/>
    <x v="1"/>
    <x v="1"/>
  </r>
  <r>
    <s v="Portable Wardrobe Nonwoven With 3 Hanging Rods And 6 Storage Shelves"/>
    <n v="2880"/>
    <n v="3520"/>
    <x v="36"/>
    <x v="29"/>
    <n v="12"/>
    <x v="10"/>
    <x v="1"/>
    <x v="2"/>
  </r>
  <r>
    <s v="3PCS Single Head Knitting Crochet Sweater Needle Set"/>
    <n v="38"/>
    <n v="80"/>
    <x v="37"/>
    <x v="4"/>
    <n v="13"/>
    <x v="11"/>
    <x v="1"/>
    <x v="0"/>
  </r>
  <r>
    <s v="32PCS Portable Cordless Drill Set With Cyclic Battery Drive -26 Variable Speed"/>
    <n v="3750"/>
    <n v="6143"/>
    <x v="38"/>
    <x v="30"/>
    <n v="5"/>
    <x v="12"/>
    <x v="1"/>
    <x v="1"/>
  </r>
  <r>
    <s v="Memory Foam Neck Pillow Cover, With Pillow Core - 50*30cm"/>
    <n v="1189"/>
    <n v="2199"/>
    <x v="39"/>
    <x v="5"/>
    <n v="1"/>
    <x v="12"/>
    <x v="1"/>
    <x v="0"/>
  </r>
  <r>
    <s v="Large Lazy Inflatable Sofa Chairs PVC Lounger Seat Bag"/>
    <n v="2300"/>
    <n v="3240"/>
    <x v="40"/>
    <x v="31"/>
    <n v="5"/>
    <x v="12"/>
    <x v="1"/>
    <x v="1"/>
  </r>
  <r>
    <s v="Mythco 120COB Solar Wall Ligt With Motion Sensor And Remote Control 3 Modes"/>
    <n v="458"/>
    <n v="986"/>
    <x v="41"/>
    <x v="19"/>
    <n v="10"/>
    <x v="12"/>
    <x v="1"/>
    <x v="0"/>
  </r>
  <r>
    <s v="Wrought Iron Bathroom Shelf Wall Mounted Free Punch Toilet Rack"/>
    <n v="509"/>
    <n v="899"/>
    <x v="42"/>
    <x v="32"/>
    <n v="5"/>
    <x v="12"/>
    <x v="1"/>
    <x v="0"/>
  </r>
  <r>
    <s v="VIC Wireless Vacuum Cleaner Dual Use For Home And Car 120W High Power Powerful"/>
    <n v="1220"/>
    <n v="1555"/>
    <x v="43"/>
    <x v="33"/>
    <n v="16"/>
    <x v="13"/>
    <x v="2"/>
    <x v="1"/>
  </r>
  <r>
    <s v="120W Cordless Vacuum Cleaners Handheld Electric Vacuum Cleaner"/>
    <n v="445"/>
    <n v="873"/>
    <x v="44"/>
    <x v="0"/>
    <n v="69"/>
    <x v="14"/>
    <x v="2"/>
    <x v="0"/>
  </r>
  <r>
    <m/>
    <n v="1277"/>
    <n v="1945.6818181818182"/>
    <x v="45"/>
    <x v="34"/>
    <n v="13.045454545454545"/>
    <x v="15"/>
    <x v="3"/>
    <x v="1"/>
  </r>
  <r>
    <s v="Intelligent  LED Body Sensor Wireless Lighting Night Light USB"/>
    <n v="325"/>
    <n v="680"/>
    <x v="46"/>
    <x v="22"/>
    <n v="15"/>
    <x v="16"/>
    <x v="2"/>
    <x v="0"/>
  </r>
  <r>
    <s v="Agapeon Toothbrush Holder And Toothpaste Dispenser"/>
    <n v="382"/>
    <n v="700"/>
    <x v="47"/>
    <x v="27"/>
    <n v="17"/>
    <x v="17"/>
    <x v="2"/>
    <x v="0"/>
  </r>
  <r>
    <s v="5 Pieces/set Of Stainless Steel Induction Cooker Pots"/>
    <n v="2170"/>
    <n v="2500"/>
    <x v="48"/>
    <x v="35"/>
    <n v="6"/>
    <x v="18"/>
    <x v="2"/>
    <x v="2"/>
  </r>
  <r>
    <s v="380ML USB Rechargeable Portable Small Blenders And Juicers"/>
    <n v="1000"/>
    <n v="2000"/>
    <x v="49"/>
    <x v="36"/>
    <n v="7"/>
    <x v="19"/>
    <x v="2"/>
    <x v="0"/>
  </r>
  <r>
    <s v="Watercolour Gold Foil Textured Print Pillow Cover"/>
    <n v="345"/>
    <n v="602"/>
    <x v="50"/>
    <x v="32"/>
    <n v="6"/>
    <x v="19"/>
    <x v="2"/>
    <x v="0"/>
  </r>
  <r>
    <s v="7-piece Set Of Storage Bags, Travel Storage Bags, Shoe Bags"/>
    <n v="968"/>
    <n v="1814"/>
    <x v="51"/>
    <x v="8"/>
    <n v="6"/>
    <x v="20"/>
    <x v="2"/>
    <x v="0"/>
  </r>
  <r>
    <s v="Artificial Potted Flowers Room Decorative Flowers (2 Pieces)"/>
    <n v="990"/>
    <n v="1814"/>
    <x v="52"/>
    <x v="27"/>
    <n v="6"/>
    <x v="20"/>
    <x v="2"/>
    <x v="0"/>
  </r>
  <r>
    <s v="5-PCS Stainless Steel Cooking Pot Set With Steamed Slices"/>
    <n v="2115"/>
    <n v="4700"/>
    <x v="53"/>
    <x v="6"/>
    <n v="13"/>
    <x v="21"/>
    <x v="2"/>
    <x v="0"/>
  </r>
  <r>
    <s v="Electric LED UV Mosquito Killer Lamp, Outdoor/Indoor Fly Killer Trap Light -USB"/>
    <n v="1570"/>
    <n v="2988"/>
    <x v="54"/>
    <x v="8"/>
    <n v="7"/>
    <x v="21"/>
    <x v="2"/>
    <x v="0"/>
  </r>
  <r>
    <s v="Wall-mounted Sticker Punch-free Plug Fixer"/>
    <n v="450"/>
    <n v="900"/>
    <x v="55"/>
    <x v="36"/>
    <n v="1"/>
    <x v="22"/>
    <x v="2"/>
    <x v="0"/>
  </r>
  <r>
    <s v="MultiFunctional Storage Rack Multi-layer Bookshelf"/>
    <n v="2200"/>
    <n v="4080"/>
    <x v="56"/>
    <x v="5"/>
    <m/>
    <x v="23"/>
    <x v="2"/>
    <x v="0"/>
  </r>
  <r>
    <s v="LASA Stainless Steel Double Wall Mount Soap Dispenser - 500ml"/>
    <n v="2750"/>
    <n v="4471"/>
    <x v="57"/>
    <x v="16"/>
    <m/>
    <x v="23"/>
    <x v="2"/>
    <x v="1"/>
  </r>
  <r>
    <s v="4pcs Bathroom/Kitchen Towel Rack,Roll Paper Holder,Towel Bars,Hook"/>
    <n v="1860"/>
    <n v="3220"/>
    <x v="58"/>
    <x v="17"/>
    <m/>
    <x v="23"/>
    <x v="2"/>
    <x v="0"/>
  </r>
  <r>
    <s v="Portable Wine Table With Folding Round Table"/>
    <n v="1300"/>
    <n v="2500"/>
    <x v="59"/>
    <x v="20"/>
    <m/>
    <x v="23"/>
    <x v="2"/>
    <x v="0"/>
  </r>
  <r>
    <s v="2PCS Ice Silk Square Cushion Cover Pillowcases - 65x65cm"/>
    <n v="1200"/>
    <n v="2400"/>
    <x v="59"/>
    <x v="36"/>
    <m/>
    <x v="23"/>
    <x v="2"/>
    <x v="0"/>
  </r>
  <r>
    <s v="12V 19500rpm Handheld Electric Angle Grinder Tool - UK - Yellow/Black"/>
    <n v="2799"/>
    <n v="3810"/>
    <x v="60"/>
    <x v="10"/>
    <m/>
    <x v="23"/>
    <x v="2"/>
    <x v="1"/>
  </r>
  <r>
    <s v="Christmas Elk Fence Yard Lawn Decorations Cute For Holidays"/>
    <n v="999"/>
    <n v="2000"/>
    <x v="61"/>
    <x v="36"/>
    <m/>
    <x v="23"/>
    <x v="2"/>
    <x v="0"/>
  </r>
  <r>
    <s v="9pcs Gas Mask, For Painting, Dust, Formaldehyde Grinding, Polishing"/>
    <n v="1420"/>
    <n v="2420"/>
    <x v="49"/>
    <x v="21"/>
    <m/>
    <x v="23"/>
    <x v="2"/>
    <x v="0"/>
  </r>
  <r>
    <s v="Wall Clock With Hidden Safe Box"/>
    <n v="850"/>
    <n v="1700"/>
    <x v="62"/>
    <x v="36"/>
    <m/>
    <x v="23"/>
    <x v="2"/>
    <x v="0"/>
  </r>
  <r>
    <s v="5m Waterproof Spherical LED String Lights Outdoor Ball Chain Lights Party Lighting Decoration Adjustable"/>
    <n v="1460"/>
    <n v="2290"/>
    <x v="63"/>
    <x v="37"/>
    <m/>
    <x v="23"/>
    <x v="2"/>
    <x v="1"/>
  </r>
  <r>
    <s v="6 Layers Steel Pipe Assembling Dustproof Storage Shoe Cabinet"/>
    <n v="899"/>
    <n v="1699"/>
    <x v="64"/>
    <x v="8"/>
    <m/>
    <x v="23"/>
    <x v="2"/>
    <x v="0"/>
  </r>
  <r>
    <s v="6 Layers Steel Pipe Assembling Dustproof Storage Shoe Cabinet"/>
    <n v="899"/>
    <n v="1699"/>
    <x v="64"/>
    <x v="8"/>
    <m/>
    <x v="23"/>
    <x v="2"/>
    <x v="0"/>
  </r>
  <r>
    <s v="8in1 Screwdriver With LED Light"/>
    <n v="1080"/>
    <n v="1874"/>
    <x v="65"/>
    <x v="17"/>
    <m/>
    <x v="23"/>
    <x v="2"/>
    <x v="0"/>
  </r>
  <r>
    <s v="Angle Measuring Tool Full Metal Multi Angle Measuring Tool"/>
    <n v="799"/>
    <n v="1567"/>
    <x v="66"/>
    <x v="0"/>
    <m/>
    <x v="23"/>
    <x v="2"/>
    <x v="0"/>
  </r>
  <r>
    <s v="2pcs Solar Street Light Flood Light Outdoor"/>
    <n v="1200"/>
    <n v="1950"/>
    <x v="67"/>
    <x v="16"/>
    <m/>
    <x v="23"/>
    <x v="2"/>
    <x v="1"/>
  </r>
  <r>
    <s v="2PCS/LOT Solar LED Outdoor Intelligent Light Controlled Wall Lamp"/>
    <n v="790"/>
    <n v="1485"/>
    <x v="68"/>
    <x v="8"/>
    <m/>
    <x v="23"/>
    <x v="2"/>
    <x v="0"/>
  </r>
  <r>
    <s v="Car Phone Charging Stand"/>
    <n v="671"/>
    <n v="1316"/>
    <x v="69"/>
    <x v="0"/>
    <m/>
    <x v="23"/>
    <x v="2"/>
    <x v="0"/>
  </r>
  <r>
    <s v="Christmas Fence Garden Decorations Outdoor For Holiday Home"/>
    <n v="699"/>
    <n v="1343"/>
    <x v="70"/>
    <x v="20"/>
    <m/>
    <x v="23"/>
    <x v="2"/>
    <x v="0"/>
  </r>
  <r>
    <s v="Angle Measuring Tool Full Metal Multi Angle Measuring Tool"/>
    <n v="657"/>
    <n v="1288"/>
    <x v="71"/>
    <x v="0"/>
    <m/>
    <x v="23"/>
    <x v="2"/>
    <x v="0"/>
  </r>
  <r>
    <s v="Cartoon Embroidered Mini Towel Bear Cotton Wash Cloth Hand 4pcs"/>
    <n v="1190"/>
    <n v="1810"/>
    <x v="72"/>
    <x v="11"/>
    <m/>
    <x v="23"/>
    <x v="2"/>
    <x v="1"/>
  </r>
  <r>
    <s v="60W Hot Melt Glue Sprayer - Efficient And Stable Glue Dispensing"/>
    <n v="1190"/>
    <n v="1785"/>
    <x v="73"/>
    <x v="23"/>
    <m/>
    <x v="23"/>
    <x v="2"/>
    <x v="1"/>
  </r>
  <r>
    <s v="LED Solar Street Light-fake Camera"/>
    <n v="1150"/>
    <n v="1737"/>
    <x v="74"/>
    <x v="11"/>
    <m/>
    <x v="23"/>
    <x v="2"/>
    <x v="1"/>
  </r>
  <r>
    <s v="Cute Christmas Fence Garden Decorations For Holiday Home"/>
    <n v="799"/>
    <n v="1343"/>
    <x v="75"/>
    <x v="21"/>
    <m/>
    <x v="23"/>
    <x v="2"/>
    <x v="0"/>
  </r>
  <r>
    <s v="3PCS Rotary Scraper Thermomix For Kitchen"/>
    <n v="690"/>
    <n v="1200"/>
    <x v="12"/>
    <x v="32"/>
    <m/>
    <x v="23"/>
    <x v="2"/>
    <x v="0"/>
  </r>
  <r>
    <s v="Baby Early Education Shape And Color Cognitive Training Toys"/>
    <n v="525"/>
    <n v="1029"/>
    <x v="76"/>
    <x v="0"/>
    <m/>
    <x v="23"/>
    <x v="2"/>
    <x v="0"/>
  </r>
  <r>
    <s v="Simple Metal Dog Art Sculpture Decoration For Home Office"/>
    <n v="399"/>
    <n v="896"/>
    <x v="77"/>
    <x v="6"/>
    <m/>
    <x v="23"/>
    <x v="2"/>
    <x v="0"/>
  </r>
  <r>
    <s v="Multifunctional Hanging Storage Box Storage Bag (4 Layers)"/>
    <n v="630"/>
    <n v="1100"/>
    <x v="32"/>
    <x v="32"/>
    <m/>
    <x v="23"/>
    <x v="2"/>
    <x v="0"/>
  </r>
  <r>
    <s v="4M Float Switch Water Level Controller -Water Tank"/>
    <n v="475"/>
    <n v="931"/>
    <x v="78"/>
    <x v="0"/>
    <m/>
    <x v="23"/>
    <x v="2"/>
    <x v="0"/>
  </r>
  <r>
    <s v="Balloon Insert, Birthday Party Balloon Set, PU Leather"/>
    <n v="610"/>
    <n v="1060"/>
    <x v="55"/>
    <x v="17"/>
    <m/>
    <x v="23"/>
    <x v="2"/>
    <x v="0"/>
  </r>
  <r>
    <s v="Balloon Insert, Birthday Party Balloon Set, PU Leather"/>
    <n v="610"/>
    <n v="1060"/>
    <x v="55"/>
    <x v="17"/>
    <m/>
    <x v="23"/>
    <x v="2"/>
    <x v="0"/>
  </r>
  <r>
    <s v="Balloon Insert, Birthday Party Balloon Set, PU Leather"/>
    <n v="610"/>
    <n v="1060"/>
    <x v="55"/>
    <x v="17"/>
    <m/>
    <x v="23"/>
    <x v="2"/>
    <x v="0"/>
  </r>
  <r>
    <s v="Simple Metal Dog Art Sculpture Decoration For Home Office"/>
    <n v="499"/>
    <n v="900"/>
    <x v="79"/>
    <x v="27"/>
    <m/>
    <x v="23"/>
    <x v="2"/>
    <x v="0"/>
  </r>
  <r>
    <s v="6 In 1 Bottle Can Opener Multifunctional Easy Opener"/>
    <n v="199"/>
    <n v="553"/>
    <x v="80"/>
    <x v="38"/>
    <m/>
    <x v="23"/>
    <x v="2"/>
    <x v="0"/>
  </r>
  <r>
    <s v="Creative Owl Shape Keychain Black"/>
    <n v="199"/>
    <n v="504"/>
    <x v="81"/>
    <x v="39"/>
    <m/>
    <x v="23"/>
    <x v="2"/>
    <x v="0"/>
  </r>
  <r>
    <s v="Brush &amp; Paintbrush Cleaning Tool Pink"/>
    <n v="299"/>
    <n v="600"/>
    <x v="82"/>
    <x v="36"/>
    <m/>
    <x v="23"/>
    <x v="2"/>
    <x v="0"/>
  </r>
  <r>
    <s v="Cartoon Car Decoration Cute Individuality For Car Home Desk"/>
    <n v="274"/>
    <n v="537"/>
    <x v="83"/>
    <x v="0"/>
    <m/>
    <x v="23"/>
    <x v="2"/>
    <x v="0"/>
  </r>
  <r>
    <s v="Modern Sofa Throw Pillow Cover-45x45cm-Blue&amp;Red"/>
    <n v="238"/>
    <n v="476"/>
    <x v="84"/>
    <x v="36"/>
    <m/>
    <x v="23"/>
    <x v="2"/>
    <x v="0"/>
  </r>
  <r>
    <s v="4 Piece Coloured Stainless Steel Kitchenware Set"/>
    <n v="248"/>
    <n v="486"/>
    <x v="84"/>
    <x v="0"/>
    <m/>
    <x v="23"/>
    <x v="2"/>
    <x v="0"/>
  </r>
  <r>
    <s v="Office Chair Lumbar Back Support Spine Posture Correction Pillow Car Cushion"/>
    <n v="1466"/>
    <n v="1699"/>
    <x v="85"/>
    <x v="40"/>
    <m/>
    <x v="23"/>
    <x v="2"/>
    <x v="2"/>
  </r>
  <r>
    <s v="Wall-Mounted Toothbrush Toothpaste Holder With Multiple Slots"/>
    <n v="1468"/>
    <n v="1699"/>
    <x v="86"/>
    <x v="40"/>
    <m/>
    <x v="23"/>
    <x v="2"/>
    <x v="2"/>
  </r>
  <r>
    <s v="7PCS Silicone Thumb Knife Finger Protector Vegetable Harvesting Knife"/>
    <n v="230"/>
    <n v="450"/>
    <x v="87"/>
    <x v="0"/>
    <m/>
    <x v="23"/>
    <x v="2"/>
    <x v="0"/>
  </r>
  <r>
    <s v="Creative Owl Shape Keychain Black"/>
    <n v="176"/>
    <n v="345"/>
    <x v="88"/>
    <x v="0"/>
    <m/>
    <x v="23"/>
    <x v="2"/>
    <x v="0"/>
  </r>
  <r>
    <s v="Metal Wall Clock Silver Dial Crystal Jewelry Round Home Decoration Wall Clock"/>
    <n v="3546"/>
    <n v="3699"/>
    <x v="89"/>
    <x v="41"/>
    <m/>
    <x v="23"/>
    <x v="2"/>
    <x v="2"/>
  </r>
  <r>
    <s v="Black Simple Water Cup Wine Coaster Anti Slip Absorbent"/>
    <n v="169"/>
    <n v="320"/>
    <x v="90"/>
    <x v="8"/>
    <m/>
    <x v="23"/>
    <x v="2"/>
    <x v="0"/>
  </r>
  <r>
    <s v="Wall Mount Automatic Toothpaste Dispenser Toothbrush Holder Toothpaste Squeezer"/>
    <n v="1526"/>
    <n v="1660"/>
    <x v="91"/>
    <x v="42"/>
    <m/>
    <x v="23"/>
    <x v="2"/>
    <x v="2"/>
  </r>
  <r>
    <s v="Outdoor Portable Water Bottle With Medicine Box - 600ML - Black"/>
    <n v="799"/>
    <n v="900"/>
    <x v="92"/>
    <x v="43"/>
    <m/>
    <x v="23"/>
    <x v="2"/>
    <x v="2"/>
  </r>
  <r>
    <s v="Sewing Machine Needle Threader Stitch Insertion Tool Automatic Quick Sewing"/>
    <n v="105"/>
    <n v="200"/>
    <x v="93"/>
    <x v="20"/>
    <m/>
    <x v="23"/>
    <x v="2"/>
    <x v="0"/>
  </r>
  <r>
    <s v="Pilates Cloth Bag Waterproof Durable High Capacity Purple"/>
    <n v="299"/>
    <n v="384"/>
    <x v="94"/>
    <x v="33"/>
    <m/>
    <x v="23"/>
    <x v="2"/>
    <x v="1"/>
  </r>
  <r>
    <s v="Cushion Silicone Butt Cushion Summer Ice Cushion Honeycomb Gel Cushion"/>
    <n v="1732"/>
    <n v="1799"/>
    <x v="95"/>
    <x v="41"/>
    <m/>
    <x v="23"/>
    <x v="2"/>
    <x v="2"/>
  </r>
  <r>
    <s v="1PC Refrigerator Food Seal Pocket Fridge Bags"/>
    <n v="198"/>
    <n v="260"/>
    <x v="96"/>
    <x v="13"/>
    <m/>
    <x v="23"/>
    <x v="2"/>
    <x v="1"/>
  </r>
  <r>
    <s v="Shower Nozzle Cleaning Unclogging Needle Mini Crevice Small Hole Cleaning Brush"/>
    <n v="1658"/>
    <n v="1699"/>
    <x v="97"/>
    <x v="44"/>
    <m/>
    <x v="23"/>
    <x v="2"/>
    <x v="2"/>
  </r>
  <r>
    <s v="Multi-purpose Rice Drainage Basket And Fruit And Vegetable Drainage Sieve"/>
    <n v="1459"/>
    <n v="1499"/>
    <x v="98"/>
    <x v="45"/>
    <m/>
    <x v="23"/>
    <x v="2"/>
    <x v="2"/>
  </r>
  <r>
    <s v="Pen Grips For Kids Pen Grip Posture Correction Tool For Kids"/>
    <n v="1660"/>
    <n v="1699"/>
    <x v="99"/>
    <x v="44"/>
    <m/>
    <x v="23"/>
    <x v="2"/>
    <x v="2"/>
  </r>
  <r>
    <s v="Shower Cap Wide Elastic Band Cover Reusable Bashroom Cap"/>
    <n v="2132"/>
    <n v="2169"/>
    <x v="100"/>
    <x v="44"/>
    <m/>
    <x v="23"/>
    <x v="2"/>
    <x v="2"/>
  </r>
  <r>
    <s v="Portable Soap Dispenser Kitchen Detergent Press Box Kitchen Tools"/>
    <n v="1462"/>
    <n v="1499"/>
    <x v="100"/>
    <x v="44"/>
    <m/>
    <x v="23"/>
    <x v="2"/>
    <x v="2"/>
  </r>
  <r>
    <s v="2 Pairs Cowhide Split Leather Work Gloves.32â„‰ Or Above Welding Gloves"/>
    <n v="1666"/>
    <n v="1699"/>
    <x v="101"/>
    <x v="44"/>
    <m/>
    <x v="23"/>
    <x v="2"/>
    <x v="2"/>
  </r>
  <r>
    <s v="Thickening Multipurpose Non Stick Easy To Clean Heat Resistant Spoon Pad"/>
    <n v="1768"/>
    <n v="1799"/>
    <x v="102"/>
    <x v="44"/>
    <m/>
    <x v="23"/>
    <x v="2"/>
    <x v="2"/>
  </r>
  <r>
    <s v="24 Grid Wall-mounted Sundries Organiser Fabric Closet Bag Storage Rack"/>
    <n v="1875"/>
    <n v="1899"/>
    <x v="103"/>
    <x v="46"/>
    <m/>
    <x v="23"/>
    <x v="2"/>
    <x v="3"/>
  </r>
  <r>
    <m/>
    <n v="115"/>
    <m/>
    <x v="104"/>
    <x v="47"/>
    <n v="736.0454545454545"/>
    <x v="23"/>
    <x v="3"/>
    <x v="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LASA Aluminum Folding Truck Hand Cart - 68kg Max"/>
    <n v="2025"/>
    <n v="3971"/>
    <n v="1946"/>
    <n v="0.49"/>
    <x v="0"/>
    <n v="5"/>
    <s v="excellent"/>
    <x v="0"/>
  </r>
  <r>
    <s v="DIY File Folder, Office Drawer File Holder, Pen Holder, Desktop Storage Rack"/>
    <n v="1620"/>
    <n v="2690"/>
    <n v="1070"/>
    <n v="0.4"/>
    <x v="1"/>
    <n v="5"/>
    <s v="excellent"/>
    <x v="1"/>
  </r>
  <r>
    <s v="Konka Healty Electric Kettle, 24-hour Heat Preservation,1.5L,800W, White"/>
    <n v="3640"/>
    <n v="4588"/>
    <n v="948"/>
    <n v="0.21"/>
    <x v="1"/>
    <n v="5"/>
    <s v="excellent"/>
    <x v="1"/>
  </r>
  <r>
    <s v="Bedroom Simple Floor Hanging Clothes Rack Single Pole Hat Rack - White"/>
    <n v="979"/>
    <n v="1920"/>
    <n v="941"/>
    <n v="0.49"/>
    <x v="1"/>
    <n v="5"/>
    <s v="excellent"/>
    <x v="0"/>
  </r>
  <r>
    <s v="Anti-Skid Absorbent Insulation Coaster  For Home Office"/>
    <n v="332"/>
    <n v="684"/>
    <n v="352"/>
    <n v="0.51"/>
    <x v="2"/>
    <n v="5"/>
    <s v="excellent"/>
    <x v="0"/>
  </r>
  <r>
    <s v="Classic Black Cat Cotton Hemp Pillow Case For Home Car"/>
    <n v="171"/>
    <n v="360"/>
    <n v="189"/>
    <n v="0.53"/>
    <x v="2"/>
    <n v="5"/>
    <s v="excellent"/>
    <x v="0"/>
  </r>
  <r>
    <s v="Peacock  Throw Pillow Cushion Case For Home Car"/>
    <n v="195"/>
    <n v="360"/>
    <n v="165"/>
    <n v="0.46"/>
    <x v="2"/>
    <n v="5"/>
    <s v="excellent"/>
    <x v="0"/>
  </r>
  <r>
    <s v="LASA FOLDING TABLE SERVING STAND"/>
    <n v="1274"/>
    <n v="2800"/>
    <n v="1526"/>
    <n v="0.55000000000000004"/>
    <x v="3"/>
    <n v="4.8"/>
    <s v="excellent"/>
    <x v="0"/>
  </r>
  <r>
    <s v="Portable Home Small Air Humidifier 3-Speed Fan - Green"/>
    <n v="1740"/>
    <n v="2356"/>
    <n v="616"/>
    <n v="0.26"/>
    <x v="3"/>
    <n v="4.8"/>
    <s v="excellent"/>
    <x v="1"/>
  </r>
  <r>
    <s v="40cm Gold DIY Acrylic Wall Sticker Clock"/>
    <n v="552"/>
    <n v="1035"/>
    <n v="483"/>
    <n v="0.47"/>
    <x v="4"/>
    <n v="4.8"/>
    <s v="excellent"/>
    <x v="0"/>
  </r>
  <r>
    <s v="Weighing Scale Digital Bathroom Body Fat Scale USB-Black"/>
    <n v="1580"/>
    <n v="2499"/>
    <n v="919"/>
    <n v="0.37"/>
    <x v="5"/>
    <n v="4.7"/>
    <s v="excellent"/>
    <x v="1"/>
  </r>
  <r>
    <s v="53Pcs/Set Yarn Knitting Crochet Hooks With Bag - Fortune Cat"/>
    <n v="1940"/>
    <n v="2650"/>
    <n v="710"/>
    <n v="0.27"/>
    <x v="6"/>
    <n v="4.7"/>
    <s v="excellent"/>
    <x v="1"/>
  </r>
  <r>
    <s v="100 Pcs Crochet Hook Tool Set Knitting Hook Set With Box"/>
    <n v="990"/>
    <n v="1500"/>
    <n v="510"/>
    <n v="0.34"/>
    <x v="7"/>
    <n v="4.7"/>
    <s v="excellent"/>
    <x v="1"/>
  </r>
  <r>
    <s v="12 Litre Insulated Lunch Box Grey"/>
    <n v="980"/>
    <n v="1490"/>
    <n v="510"/>
    <n v="0.34"/>
    <x v="4"/>
    <n v="4.7"/>
    <s v="excellent"/>
    <x v="1"/>
  </r>
  <r>
    <s v="3D Waterproof EVA Plastic Shower Curtain 1.8*2Mtrs"/>
    <n v="998"/>
    <n v="1966"/>
    <n v="968"/>
    <n v="0.49"/>
    <x v="8"/>
    <n v="4.5999999999999996"/>
    <s v="excellent"/>
    <x v="0"/>
  </r>
  <r>
    <s v="Portable Mini Cordless Car Vacuum Cleaner - Blue"/>
    <n v="2199"/>
    <n v="2923"/>
    <n v="724"/>
    <n v="0.25"/>
    <x v="9"/>
    <n v="4.5999999999999996"/>
    <s v="excellent"/>
    <x v="1"/>
  </r>
  <r>
    <s v="137 Pieces Cake Decorating Tool Set Baking Supplies"/>
    <n v="2319"/>
    <n v="3032"/>
    <n v="713"/>
    <n v="0.24"/>
    <x v="10"/>
    <n v="4.5999999999999996"/>
    <s v="excellent"/>
    <x v="1"/>
  </r>
  <r>
    <s v="LED Wall Digital Alarm Clock Study Home 12 / 24H Clock Calendar"/>
    <n v="2999"/>
    <n v="3699"/>
    <n v="700"/>
    <n v="0.19"/>
    <x v="3"/>
    <n v="4.5999999999999996"/>
    <s v="excellent"/>
    <x v="2"/>
  </r>
  <r>
    <s v="Electronic Digital Display Vernier Caliper"/>
    <n v="420"/>
    <n v="647"/>
    <n v="227"/>
    <n v="0.35"/>
    <x v="11"/>
    <n v="4.5999999999999996"/>
    <s v="excellent"/>
    <x v="1"/>
  </r>
  <r>
    <s v="1/2/3 Seater Elastic Sofa Cover,Living Room/Home Decor Chair Cover-Grey"/>
    <n v="1800"/>
    <n v="2700"/>
    <n v="900"/>
    <n v="0.38"/>
    <x v="2"/>
    <n v="4.5"/>
    <s v="average"/>
    <x v="1"/>
  </r>
  <r>
    <s v="53 Pieces/Set Yarn Knitting Crochet Hooks With Bag - Pansies"/>
    <n v="1980"/>
    <n v="2699"/>
    <n v="719"/>
    <n v="0.27"/>
    <x v="12"/>
    <n v="4.5"/>
    <s v="average"/>
    <x v="1"/>
  </r>
  <r>
    <s v="115  Piece Set Of Multifunctional Precision Screwdrivers"/>
    <n v="950"/>
    <n v="1525"/>
    <n v="575"/>
    <n v="0.38"/>
    <x v="2"/>
    <n v="4.5"/>
    <s v="excellent"/>
    <x v="1"/>
  </r>
  <r>
    <s v="LASA Digital Thermometer And Hydrometer"/>
    <n v="501"/>
    <n v="860"/>
    <n v="359"/>
    <n v="0.42"/>
    <x v="13"/>
    <n v="4.5"/>
    <s v="average"/>
    <x v="0"/>
  </r>
  <r>
    <s v="Foldable Overbed Table/Desk"/>
    <n v="1650"/>
    <n v="2150"/>
    <n v="500"/>
    <n v="0.23"/>
    <x v="14"/>
    <n v="4.4000000000000004"/>
    <s v="average"/>
    <x v="1"/>
  </r>
  <r>
    <s v="LASA 3 Tier Bamboo Shoe Bench Storage Shelf"/>
    <n v="2048"/>
    <n v="4500"/>
    <n v="2452"/>
    <n v="0.54"/>
    <x v="5"/>
    <n v="4.3"/>
    <s v="average"/>
    <x v="0"/>
  </r>
  <r>
    <s v="LED Eye Protection  Desk Lamp , Study, Reading, USB Fan - Double Pen Holder"/>
    <n v="1820"/>
    <n v="3490"/>
    <n v="1670"/>
    <n v="0.48"/>
    <x v="15"/>
    <n v="4.3"/>
    <s v="average"/>
    <x v="0"/>
  </r>
  <r>
    <s v="Punch-free Great Load Bearing Bathroom Storage Rack Wall Shelf-White"/>
    <n v="389"/>
    <n v="656"/>
    <n v="267"/>
    <n v="0.41"/>
    <x v="16"/>
    <n v="4.3"/>
    <s v="average"/>
    <x v="0"/>
  </r>
  <r>
    <s v="Exfoliate And Exfoliate Face Towel - Black"/>
    <n v="185"/>
    <n v="382"/>
    <n v="197"/>
    <n v="0.52"/>
    <x v="15"/>
    <n v="4.3"/>
    <s v="average"/>
    <x v="0"/>
  </r>
  <r>
    <s v="Multifunction Laser Level With Adjustment Tripod"/>
    <n v="1680"/>
    <n v="2499"/>
    <n v="819"/>
    <n v="0.33"/>
    <x v="15"/>
    <n v="4.2"/>
    <s v="average"/>
    <x v="1"/>
  </r>
  <r>
    <s v="52 Pieces Cake Decorating Tool Set Gift Kit Baking Supplies"/>
    <n v="1758"/>
    <n v="2499"/>
    <n v="741"/>
    <n v="0.3"/>
    <x v="6"/>
    <n v="4.0999999999999996"/>
    <s v="average"/>
    <x v="1"/>
  </r>
  <r>
    <s v="Metal Decorative Hooks Key Hangers Entryway Wall Hooks Towel Hooks - Home"/>
    <n v="527"/>
    <n v="999"/>
    <n v="472"/>
    <n v="0.47"/>
    <x v="14"/>
    <n v="4.0999999999999996"/>
    <s v="average"/>
    <x v="0"/>
  </r>
  <r>
    <s v="Genebre 115 In 1 Screwdriver Repairing Tool Set For IPhone Cellphone Hand Tool"/>
    <n v="799"/>
    <n v="999"/>
    <n v="200"/>
    <n v="0.2"/>
    <x v="4"/>
    <n v="4.0999999999999996"/>
    <s v="average"/>
    <x v="1"/>
  </r>
  <r>
    <s v="Desk Foldable Fan Adjustable Fan Strong Wind 3 Gear Usb"/>
    <n v="988"/>
    <n v="1580"/>
    <n v="592"/>
    <n v="0.37"/>
    <x v="2"/>
    <n v="4"/>
    <s v="average"/>
    <x v="1"/>
  </r>
  <r>
    <s v="LED Romantic Spaceship Starry Sky Projector,Children's Bedroom Night Light-Blue"/>
    <n v="880"/>
    <n v="1350"/>
    <n v="470"/>
    <n v="0.35"/>
    <x v="13"/>
    <n v="4"/>
    <s v="average"/>
    <x v="1"/>
  </r>
  <r>
    <s v="Household Pineapple Peeler Peeler"/>
    <n v="330"/>
    <n v="647"/>
    <n v="317"/>
    <n v="0.49"/>
    <x v="1"/>
    <n v="4"/>
    <s v="average"/>
    <x v="0"/>
  </r>
  <r>
    <s v="220V 60W Electric Soldering Iron Kits With Tools, Tips, And Multimeter"/>
    <n v="2999"/>
    <n v="3290"/>
    <n v="291"/>
    <n v="0.09"/>
    <x v="17"/>
    <n v="4"/>
    <s v="average"/>
    <x v="2"/>
  </r>
  <r>
    <s v="13 In 1 Home Repair Tools Box Kit Set"/>
    <n v="1600"/>
    <n v="2929"/>
    <n v="1329"/>
    <n v="0.45"/>
    <x v="3"/>
    <n v="3.8"/>
    <s v="average"/>
    <x v="0"/>
  </r>
  <r>
    <s v="12 Litre Black Insulated Lunch Box"/>
    <n v="1350"/>
    <n v="1990"/>
    <n v="640"/>
    <n v="0.32"/>
    <x v="18"/>
    <n v="3.8"/>
    <s v="average"/>
    <x v="1"/>
  </r>
  <r>
    <s v="Portable Wardrobe Nonwoven With 3 Hanging Rods And 6 Storage Shelves"/>
    <n v="2880"/>
    <n v="3520"/>
    <n v="640"/>
    <n v="0.18"/>
    <x v="4"/>
    <n v="3.8"/>
    <s v="average"/>
    <x v="2"/>
  </r>
  <r>
    <s v="3PCS Single Head Knitting Crochet Sweater Needle Set"/>
    <n v="38"/>
    <n v="80"/>
    <n v="42"/>
    <n v="0.53"/>
    <x v="18"/>
    <n v="3.3"/>
    <s v="average"/>
    <x v="0"/>
  </r>
  <r>
    <s v="32PCS Portable Cordless Drill Set With Cyclic Battery Drive -26 Variable Speed"/>
    <n v="3750"/>
    <n v="6143"/>
    <n v="2393"/>
    <n v="0.39"/>
    <x v="3"/>
    <n v="3"/>
    <s v="average"/>
    <x v="1"/>
  </r>
  <r>
    <s v="Memory Foam Neck Pillow Cover, With Pillow Core - 50*30cm"/>
    <n v="1189"/>
    <n v="2199"/>
    <n v="1010"/>
    <n v="0.46"/>
    <x v="1"/>
    <n v="3"/>
    <s v="average"/>
    <x v="0"/>
  </r>
  <r>
    <s v="Large Lazy Inflatable Sofa Chairs PVC Lounger Seat Bag"/>
    <n v="2300"/>
    <n v="3240"/>
    <n v="940"/>
    <n v="0.28999999999999998"/>
    <x v="3"/>
    <n v="3"/>
    <s v="average"/>
    <x v="1"/>
  </r>
  <r>
    <s v="Mythco 120COB Solar Wall Ligt With Motion Sensor And Remote Control 3 Modes"/>
    <n v="458"/>
    <n v="986"/>
    <n v="528"/>
    <n v="0.54"/>
    <x v="19"/>
    <n v="3"/>
    <s v="average"/>
    <x v="0"/>
  </r>
  <r>
    <s v="Wrought Iron Bathroom Shelf Wall Mounted Free Punch Toilet Rack"/>
    <n v="509"/>
    <n v="899"/>
    <n v="390"/>
    <n v="0.43"/>
    <x v="3"/>
    <n v="3"/>
    <s v="average"/>
    <x v="0"/>
  </r>
  <r>
    <s v="VIC Wireless Vacuum Cleaner Dual Use For Home And Car 120W High Power Powerful"/>
    <n v="1220"/>
    <n v="1555"/>
    <n v="335"/>
    <n v="0.22"/>
    <x v="20"/>
    <n v="2.9"/>
    <s v="poor"/>
    <x v="1"/>
  </r>
  <r>
    <s v="120W Cordless Vacuum Cleaners Handheld Electric Vacuum Cleaner"/>
    <n v="445"/>
    <n v="873"/>
    <n v="428"/>
    <n v="0.49"/>
    <x v="21"/>
    <n v="2.8"/>
    <s v="poor"/>
    <x v="0"/>
  </r>
  <r>
    <s v="Intelligent  LED Body Sensor Wireless Lighting Night Light USB"/>
    <n v="325"/>
    <n v="680"/>
    <n v="355"/>
    <n v="0.52"/>
    <x v="17"/>
    <n v="2.7"/>
    <s v="poor"/>
    <x v="0"/>
  </r>
  <r>
    <s v="Agapeon Toothbrush Holder And Toothpaste Dispenser"/>
    <n v="382"/>
    <n v="700"/>
    <n v="318"/>
    <n v="0.45"/>
    <x v="22"/>
    <n v="2.6"/>
    <s v="poor"/>
    <x v="0"/>
  </r>
  <r>
    <s v="5 Pieces/set Of Stainless Steel Induction Cooker Pots"/>
    <n v="2170"/>
    <n v="2500"/>
    <n v="330"/>
    <n v="0.13"/>
    <x v="13"/>
    <n v="2.5"/>
    <s v="poor"/>
    <x v="2"/>
  </r>
  <r>
    <s v="380ML USB Rechargeable Portable Small Blenders And Juicers"/>
    <n v="1000"/>
    <n v="2000"/>
    <n v="1000"/>
    <n v="0.5"/>
    <x v="5"/>
    <n v="2.2999999999999998"/>
    <s v="poor"/>
    <x v="0"/>
  </r>
  <r>
    <s v="Watercolour Gold Foil Textured Print Pillow Cover"/>
    <n v="345"/>
    <n v="602"/>
    <n v="257"/>
    <n v="0.43"/>
    <x v="13"/>
    <n v="2.2999999999999998"/>
    <s v="poor"/>
    <x v="0"/>
  </r>
  <r>
    <s v="7-piece Set Of Storage Bags, Travel Storage Bags, Shoe Bags"/>
    <n v="968"/>
    <n v="1814"/>
    <n v="846"/>
    <n v="0.47"/>
    <x v="13"/>
    <n v="2.2000000000000002"/>
    <s v="poor"/>
    <x v="0"/>
  </r>
  <r>
    <s v="Artificial Potted Flowers Room Decorative Flowers (2 Pieces)"/>
    <n v="990"/>
    <n v="1814"/>
    <n v="824"/>
    <n v="0.45"/>
    <x v="13"/>
    <n v="2.2000000000000002"/>
    <s v="poor"/>
    <x v="0"/>
  </r>
  <r>
    <s v="5-PCS Stainless Steel Cooking Pot Set With Steamed Slices"/>
    <n v="2115"/>
    <n v="4700"/>
    <n v="2585"/>
    <n v="0.55000000000000004"/>
    <x v="18"/>
    <n v="2.1"/>
    <s v="poor"/>
    <x v="0"/>
  </r>
  <r>
    <s v="Electric LED UV Mosquito Killer Lamp, Outdoor/Indoor Fly Killer Trap Light -USB"/>
    <n v="1570"/>
    <n v="2988"/>
    <n v="1418"/>
    <n v="0.47"/>
    <x v="5"/>
    <n v="2.1"/>
    <s v="poor"/>
    <x v="0"/>
  </r>
  <r>
    <s v="Wall-mounted Sticker Punch-free Plug Fixer"/>
    <n v="450"/>
    <n v="900"/>
    <n v="450"/>
    <n v="0.5"/>
    <x v="1"/>
    <n v="2"/>
    <s v="poor"/>
    <x v="0"/>
  </r>
  <r>
    <s v="MultiFunctional Storage Rack Multi-layer Bookshelf"/>
    <n v="2200"/>
    <n v="4080"/>
    <n v="1880"/>
    <n v="0.46"/>
    <x v="23"/>
    <m/>
    <s v="poor"/>
    <x v="0"/>
  </r>
  <r>
    <s v="LASA Stainless Steel Double Wall Mount Soap Dispenser - 500ml"/>
    <n v="2750"/>
    <n v="4471"/>
    <n v="1721"/>
    <n v="0.38"/>
    <x v="23"/>
    <m/>
    <s v="poor"/>
    <x v="1"/>
  </r>
  <r>
    <s v="4pcs Bathroom/Kitchen Towel Rack,Roll Paper Holder,Towel Bars,Hook"/>
    <n v="1860"/>
    <n v="3220"/>
    <n v="1360"/>
    <n v="0.42"/>
    <x v="23"/>
    <m/>
    <s v="poor"/>
    <x v="0"/>
  </r>
  <r>
    <s v="Portable Wine Table With Folding Round Table"/>
    <n v="1300"/>
    <n v="2500"/>
    <n v="1200"/>
    <n v="0.48"/>
    <x v="23"/>
    <m/>
    <s v="poor"/>
    <x v="0"/>
  </r>
  <r>
    <s v="2PCS Ice Silk Square Cushion Cover Pillowcases - 65x65cm"/>
    <n v="1200"/>
    <n v="2400"/>
    <n v="1200"/>
    <n v="0.5"/>
    <x v="23"/>
    <m/>
    <s v="poor"/>
    <x v="0"/>
  </r>
  <r>
    <s v="12V 19500rpm Handheld Electric Angle Grinder Tool - UK - Yellow/Black"/>
    <n v="2799"/>
    <n v="3810"/>
    <n v="1011"/>
    <n v="0.27"/>
    <x v="23"/>
    <m/>
    <s v="poor"/>
    <x v="1"/>
  </r>
  <r>
    <s v="Christmas Elk Fence Yard Lawn Decorations Cute For Holidays"/>
    <n v="999"/>
    <n v="2000"/>
    <n v="1001"/>
    <n v="0.5"/>
    <x v="23"/>
    <m/>
    <s v="poor"/>
    <x v="0"/>
  </r>
  <r>
    <s v="9pcs Gas Mask, For Painting, Dust, Formaldehyde Grinding, Polishing"/>
    <n v="1420"/>
    <n v="2420"/>
    <n v="1000"/>
    <n v="0.41"/>
    <x v="23"/>
    <m/>
    <s v="poor"/>
    <x v="0"/>
  </r>
  <r>
    <s v="Wall Clock With Hidden Safe Box"/>
    <n v="850"/>
    <n v="1700"/>
    <n v="850"/>
    <n v="0.5"/>
    <x v="23"/>
    <m/>
    <s v="poor"/>
    <x v="0"/>
  </r>
  <r>
    <s v="5m Waterproof Spherical LED String Lights Outdoor Ball Chain Lights Party Lighting Decoration Adjustable"/>
    <n v="1460"/>
    <n v="2290"/>
    <n v="830"/>
    <n v="0.36"/>
    <x v="23"/>
    <m/>
    <s v="poor"/>
    <x v="1"/>
  </r>
  <r>
    <s v="6 Layers Steel Pipe Assembling Dustproof Storage Shoe Cabinet"/>
    <n v="899"/>
    <n v="1699"/>
    <n v="800"/>
    <n v="0.47"/>
    <x v="23"/>
    <m/>
    <s v="poor"/>
    <x v="0"/>
  </r>
  <r>
    <s v="6 Layers Steel Pipe Assembling Dustproof Storage Shoe Cabinet"/>
    <n v="899"/>
    <n v="1699"/>
    <n v="800"/>
    <n v="0.47"/>
    <x v="23"/>
    <m/>
    <s v="poor"/>
    <x v="0"/>
  </r>
  <r>
    <s v="8in1 Screwdriver With LED Light"/>
    <n v="1080"/>
    <n v="1874"/>
    <n v="794"/>
    <n v="0.42"/>
    <x v="23"/>
    <m/>
    <s v="poor"/>
    <x v="0"/>
  </r>
  <r>
    <s v="Angle Measuring Tool Full Metal Multi Angle Measuring Tool"/>
    <n v="799"/>
    <n v="1567"/>
    <n v="768"/>
    <n v="0.49"/>
    <x v="23"/>
    <m/>
    <s v="poor"/>
    <x v="0"/>
  </r>
  <r>
    <s v="2pcs Solar Street Light Flood Light Outdoor"/>
    <n v="1200"/>
    <n v="1950"/>
    <n v="750"/>
    <n v="0.38"/>
    <x v="23"/>
    <m/>
    <s v="poor"/>
    <x v="1"/>
  </r>
  <r>
    <s v="2PCS/LOT Solar LED Outdoor Intelligent Light Controlled Wall Lamp"/>
    <n v="790"/>
    <n v="1485"/>
    <n v="695"/>
    <n v="0.47"/>
    <x v="23"/>
    <m/>
    <s v="poor"/>
    <x v="0"/>
  </r>
  <r>
    <s v="Car Phone Charging Stand"/>
    <n v="671"/>
    <n v="1316"/>
    <n v="645"/>
    <n v="0.49"/>
    <x v="23"/>
    <m/>
    <s v="poor"/>
    <x v="0"/>
  </r>
  <r>
    <s v="Christmas Fence Garden Decorations Outdoor For Holiday Home"/>
    <n v="699"/>
    <n v="1343"/>
    <n v="644"/>
    <n v="0.48"/>
    <x v="23"/>
    <m/>
    <s v="poor"/>
    <x v="0"/>
  </r>
  <r>
    <s v="Angle Measuring Tool Full Metal Multi Angle Measuring Tool"/>
    <n v="657"/>
    <n v="1288"/>
    <n v="631"/>
    <n v="0.49"/>
    <x v="23"/>
    <m/>
    <s v="poor"/>
    <x v="0"/>
  </r>
  <r>
    <s v="Cartoon Embroidered Mini Towel Bear Cotton Wash Cloth Hand 4pcs"/>
    <n v="1190"/>
    <n v="1810"/>
    <n v="620"/>
    <n v="0.34"/>
    <x v="23"/>
    <m/>
    <s v="poor"/>
    <x v="1"/>
  </r>
  <r>
    <s v="60W Hot Melt Glue Sprayer - Efficient And Stable Glue Dispensing"/>
    <n v="1190"/>
    <n v="1785"/>
    <n v="595"/>
    <n v="0.33"/>
    <x v="23"/>
    <m/>
    <s v="poor"/>
    <x v="1"/>
  </r>
  <r>
    <s v="LED Solar Street Light-fake Camera"/>
    <n v="1150"/>
    <n v="1737"/>
    <n v="587"/>
    <n v="0.34"/>
    <x v="23"/>
    <m/>
    <s v="poor"/>
    <x v="1"/>
  </r>
  <r>
    <s v="Cute Christmas Fence Garden Decorations For Holiday Home"/>
    <n v="799"/>
    <n v="1343"/>
    <n v="544"/>
    <n v="0.41"/>
    <x v="23"/>
    <m/>
    <s v="poor"/>
    <x v="0"/>
  </r>
  <r>
    <s v="3PCS Rotary Scraper Thermomix For Kitchen"/>
    <n v="690"/>
    <n v="1200"/>
    <n v="510"/>
    <n v="0.43"/>
    <x v="23"/>
    <m/>
    <s v="poor"/>
    <x v="0"/>
  </r>
  <r>
    <s v="Baby Early Education Shape And Color Cognitive Training Toys"/>
    <n v="525"/>
    <n v="1029"/>
    <n v="504"/>
    <n v="0.49"/>
    <x v="23"/>
    <m/>
    <s v="poor"/>
    <x v="0"/>
  </r>
  <r>
    <s v="Simple Metal Dog Art Sculpture Decoration For Home Office"/>
    <n v="399"/>
    <n v="896"/>
    <n v="497"/>
    <n v="0.55000000000000004"/>
    <x v="23"/>
    <m/>
    <s v="poor"/>
    <x v="0"/>
  </r>
  <r>
    <s v="Multifunctional Hanging Storage Box Storage Bag (4 Layers)"/>
    <n v="630"/>
    <n v="1100"/>
    <n v="470"/>
    <n v="0.43"/>
    <x v="23"/>
    <m/>
    <s v="poor"/>
    <x v="0"/>
  </r>
  <r>
    <s v="4M Float Switch Water Level Controller -Water Tank"/>
    <n v="475"/>
    <n v="931"/>
    <n v="456"/>
    <n v="0.49"/>
    <x v="23"/>
    <m/>
    <s v="poor"/>
    <x v="0"/>
  </r>
  <r>
    <s v="Balloon Insert, Birthday Party Balloon Set, PU Leather"/>
    <n v="610"/>
    <n v="1060"/>
    <n v="450"/>
    <n v="0.42"/>
    <x v="23"/>
    <m/>
    <s v="poor"/>
    <x v="0"/>
  </r>
  <r>
    <s v="Balloon Insert, Birthday Party Balloon Set, PU Leather"/>
    <n v="610"/>
    <n v="1060"/>
    <n v="450"/>
    <n v="0.42"/>
    <x v="23"/>
    <m/>
    <s v="poor"/>
    <x v="0"/>
  </r>
  <r>
    <s v="Balloon Insert, Birthday Party Balloon Set, PU Leather"/>
    <n v="610"/>
    <n v="1060"/>
    <n v="450"/>
    <n v="0.42"/>
    <x v="23"/>
    <m/>
    <s v="poor"/>
    <x v="0"/>
  </r>
  <r>
    <s v="Simple Metal Dog Art Sculpture Decoration For Home Office"/>
    <n v="499"/>
    <n v="900"/>
    <n v="401"/>
    <n v="0.45"/>
    <x v="23"/>
    <m/>
    <s v="poor"/>
    <x v="0"/>
  </r>
  <r>
    <s v="6 In 1 Bottle Can Opener Multifunctional Easy Opener"/>
    <n v="199"/>
    <n v="553"/>
    <n v="354"/>
    <n v="0.64"/>
    <x v="23"/>
    <m/>
    <s v="poor"/>
    <x v="0"/>
  </r>
  <r>
    <s v="Creative Owl Shape Keychain Black"/>
    <n v="199"/>
    <n v="504"/>
    <n v="305"/>
    <n v="0.61"/>
    <x v="23"/>
    <m/>
    <s v="poor"/>
    <x v="0"/>
  </r>
  <r>
    <s v="Brush &amp; Paintbrush Cleaning Tool Pink"/>
    <n v="299"/>
    <n v="600"/>
    <n v="301"/>
    <n v="0.5"/>
    <x v="23"/>
    <m/>
    <s v="poor"/>
    <x v="0"/>
  </r>
  <r>
    <s v="Cartoon Car Decoration Cute Individuality For Car Home Desk"/>
    <n v="274"/>
    <n v="537"/>
    <n v="263"/>
    <n v="0.49"/>
    <x v="23"/>
    <m/>
    <s v="poor"/>
    <x v="0"/>
  </r>
  <r>
    <s v="Modern Sofa Throw Pillow Cover-45x45cm-Blue&amp;Red"/>
    <n v="238"/>
    <n v="476"/>
    <n v="238"/>
    <n v="0.5"/>
    <x v="23"/>
    <m/>
    <s v="poor"/>
    <x v="0"/>
  </r>
  <r>
    <s v="4 Piece Coloured Stainless Steel Kitchenware Set"/>
    <n v="248"/>
    <n v="486"/>
    <n v="238"/>
    <n v="0.49"/>
    <x v="23"/>
    <m/>
    <s v="poor"/>
    <x v="0"/>
  </r>
  <r>
    <s v="Office Chair Lumbar Back Support Spine Posture Correction Pillow Car Cushion"/>
    <n v="1466"/>
    <n v="1699"/>
    <n v="233"/>
    <n v="0.14000000000000001"/>
    <x v="23"/>
    <m/>
    <s v="poor"/>
    <x v="2"/>
  </r>
  <r>
    <s v="Wall-Mounted Toothbrush Toothpaste Holder With Multiple Slots"/>
    <n v="1468"/>
    <n v="1699"/>
    <n v="231"/>
    <n v="0.14000000000000001"/>
    <x v="23"/>
    <m/>
    <s v="poor"/>
    <x v="2"/>
  </r>
  <r>
    <s v="7PCS Silicone Thumb Knife Finger Protector Vegetable Harvesting Knife"/>
    <n v="230"/>
    <n v="450"/>
    <n v="220"/>
    <n v="0.49"/>
    <x v="23"/>
    <m/>
    <s v="poor"/>
    <x v="0"/>
  </r>
  <r>
    <s v="Creative Owl Shape Keychain Black"/>
    <n v="176"/>
    <n v="345"/>
    <n v="169"/>
    <n v="0.49"/>
    <x v="23"/>
    <m/>
    <s v="poor"/>
    <x v="0"/>
  </r>
  <r>
    <s v="Metal Wall Clock Silver Dial Crystal Jewelry Round Home Decoration Wall Clock"/>
    <n v="3546"/>
    <n v="3699"/>
    <n v="153"/>
    <n v="0.04"/>
    <x v="23"/>
    <m/>
    <s v="poor"/>
    <x v="2"/>
  </r>
  <r>
    <s v="Black Simple Water Cup Wine Coaster Anti Slip Absorbent"/>
    <n v="169"/>
    <n v="320"/>
    <n v="151"/>
    <n v="0.47"/>
    <x v="23"/>
    <m/>
    <s v="poor"/>
    <x v="0"/>
  </r>
  <r>
    <s v="Wall Mount Automatic Toothpaste Dispenser Toothbrush Holder Toothpaste Squeezer"/>
    <n v="1526"/>
    <n v="1660"/>
    <n v="134"/>
    <n v="0.08"/>
    <x v="23"/>
    <m/>
    <s v="poor"/>
    <x v="2"/>
  </r>
  <r>
    <s v="Outdoor Portable Water Bottle With Medicine Box - 600ML - Black"/>
    <n v="799"/>
    <n v="900"/>
    <n v="101"/>
    <n v="0.11"/>
    <x v="23"/>
    <m/>
    <s v="poor"/>
    <x v="2"/>
  </r>
  <r>
    <s v="Sewing Machine Needle Threader Stitch Insertion Tool Automatic Quick Sewing"/>
    <n v="105"/>
    <n v="200"/>
    <n v="95"/>
    <n v="0.48"/>
    <x v="23"/>
    <m/>
    <s v="poor"/>
    <x v="0"/>
  </r>
  <r>
    <s v="Pilates Cloth Bag Waterproof Durable High Capacity Purple"/>
    <n v="299"/>
    <n v="384"/>
    <n v="85"/>
    <n v="0.22"/>
    <x v="23"/>
    <m/>
    <s v="poor"/>
    <x v="1"/>
  </r>
  <r>
    <s v="Cushion Silicone Butt Cushion Summer Ice Cushion Honeycomb Gel Cushion"/>
    <n v="1732"/>
    <n v="1799"/>
    <n v="67"/>
    <n v="0.04"/>
    <x v="23"/>
    <m/>
    <s v="poor"/>
    <x v="2"/>
  </r>
  <r>
    <s v="1PC Refrigerator Food Seal Pocket Fridge Bags"/>
    <n v="198"/>
    <n v="260"/>
    <n v="62"/>
    <n v="0.24"/>
    <x v="23"/>
    <m/>
    <s v="poor"/>
    <x v="1"/>
  </r>
  <r>
    <s v="Shower Nozzle Cleaning Unclogging Needle Mini Crevice Small Hole Cleaning Brush"/>
    <n v="1658"/>
    <n v="1699"/>
    <n v="41"/>
    <n v="0.02"/>
    <x v="23"/>
    <m/>
    <s v="poor"/>
    <x v="2"/>
  </r>
  <r>
    <s v="Multi-purpose Rice Drainage Basket And Fruit And Vegetable Drainage Sieve"/>
    <n v="1459"/>
    <n v="1499"/>
    <n v="40"/>
    <n v="0.03"/>
    <x v="23"/>
    <m/>
    <s v="poor"/>
    <x v="2"/>
  </r>
  <r>
    <s v="Pen Grips For Kids Pen Grip Posture Correction Tool For Kids"/>
    <n v="1660"/>
    <n v="1699"/>
    <n v="39"/>
    <n v="0.02"/>
    <x v="23"/>
    <m/>
    <s v="poor"/>
    <x v="2"/>
  </r>
  <r>
    <s v="Shower Cap Wide Elastic Band Cover Reusable Bashroom Cap"/>
    <n v="2132"/>
    <n v="2169"/>
    <n v="37"/>
    <n v="0.02"/>
    <x v="23"/>
    <m/>
    <s v="poor"/>
    <x v="2"/>
  </r>
  <r>
    <s v="Portable Soap Dispenser Kitchen Detergent Press Box Kitchen Tools"/>
    <n v="1462"/>
    <n v="1499"/>
    <n v="37"/>
    <n v="0.02"/>
    <x v="23"/>
    <m/>
    <s v="poor"/>
    <x v="2"/>
  </r>
  <r>
    <s v="2 Pairs Cowhide Split Leather Work Gloves.32â„‰ Or Above Welding Gloves"/>
    <n v="1666"/>
    <n v="1699"/>
    <n v="33"/>
    <n v="0.02"/>
    <x v="23"/>
    <m/>
    <s v="poor"/>
    <x v="2"/>
  </r>
  <r>
    <s v="Thickening Multipurpose Non Stick Easy To Clean Heat Resistant Spoon Pad"/>
    <n v="1768"/>
    <n v="1799"/>
    <n v="31"/>
    <n v="0.02"/>
    <x v="23"/>
    <m/>
    <s v="poor"/>
    <x v="2"/>
  </r>
  <r>
    <s v="24 Grid Wall-mounted Sundries Organiser Fabric Closet Bag Storage Rack"/>
    <n v="1875"/>
    <n v="1899"/>
    <n v="24"/>
    <n v="0.01"/>
    <x v="23"/>
    <m/>
    <s v="poor"/>
    <x v="3"/>
  </r>
  <r>
    <m/>
    <n v="114"/>
    <m/>
    <m/>
    <m/>
    <x v="24"/>
    <m/>
    <m/>
    <x v="3"/>
  </r>
  <r>
    <m/>
    <n v="1277"/>
    <n v="1945.6818181818182"/>
    <n v="668.68181818181813"/>
    <n v="0.37772727272727269"/>
    <x v="25"/>
    <n v="3.672727272727272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9D91C-64AD-4917-9A9F-6EE635C047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1" firstHeaderRow="1" firstDataRow="1" firstDataCol="1"/>
  <pivotFields count="9">
    <pivotField showAll="0"/>
    <pivotField numFmtId="2" showAll="0"/>
    <pivotField numFmtId="2" showAll="0"/>
    <pivotField showAll="0"/>
    <pivotField axis="axisRow"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5">
        <item x="22"/>
        <item x="15"/>
        <item x="19"/>
        <item x="20"/>
        <item x="13"/>
        <item x="21"/>
        <item x="17"/>
        <item x="16"/>
        <item x="18"/>
        <item x="14"/>
        <item x="9"/>
        <item x="6"/>
        <item x="23"/>
        <item x="5"/>
        <item x="1"/>
        <item x="7"/>
        <item x="12"/>
        <item x="11"/>
        <item x="0"/>
        <item x="2"/>
        <item x="3"/>
        <item x="4"/>
        <item x="8"/>
        <item x="10"/>
        <item t="default"/>
      </items>
    </pivotField>
    <pivotField showAll="0"/>
    <pivotField showAl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Review" fld="5" baseField="4"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ABC8B-A4EE-4708-8ED6-D31A9EE495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6" firstHeaderRow="1" firstDataRow="1" firstDataCol="1"/>
  <pivotFields count="9">
    <pivotField showAll="0"/>
    <pivotField numFmtId="2" showAll="0"/>
    <pivotField numFmtId="2" showAll="0"/>
    <pivotField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dataField="1" showAll="0"/>
    <pivotField axis="axisRow" showAll="0">
      <items count="25">
        <item x="22"/>
        <item x="15"/>
        <item x="19"/>
        <item x="20"/>
        <item x="13"/>
        <item x="21"/>
        <item x="17"/>
        <item x="16"/>
        <item x="18"/>
        <item x="14"/>
        <item x="9"/>
        <item x="6"/>
        <item h="1" x="23"/>
        <item x="5"/>
        <item x="1"/>
        <item x="7"/>
        <item x="12"/>
        <item x="11"/>
        <item x="0"/>
        <item x="2"/>
        <item x="3"/>
        <item x="4"/>
        <item x="8"/>
        <item h="1" x="10"/>
        <item t="default"/>
      </items>
    </pivotField>
    <pivotField showAll="0"/>
    <pivotField showAll="0"/>
  </pivotFields>
  <rowFields count="1">
    <field x="6"/>
  </rowFields>
  <rowItems count="23">
    <i>
      <x/>
    </i>
    <i>
      <x v="1"/>
    </i>
    <i>
      <x v="2"/>
    </i>
    <i>
      <x v="3"/>
    </i>
    <i>
      <x v="4"/>
    </i>
    <i>
      <x v="5"/>
    </i>
    <i>
      <x v="6"/>
    </i>
    <i>
      <x v="7"/>
    </i>
    <i>
      <x v="8"/>
    </i>
    <i>
      <x v="9"/>
    </i>
    <i>
      <x v="10"/>
    </i>
    <i>
      <x v="11"/>
    </i>
    <i>
      <x v="13"/>
    </i>
    <i>
      <x v="14"/>
    </i>
    <i>
      <x v="15"/>
    </i>
    <i>
      <x v="16"/>
    </i>
    <i>
      <x v="17"/>
    </i>
    <i>
      <x v="18"/>
    </i>
    <i>
      <x v="19"/>
    </i>
    <i>
      <x v="20"/>
    </i>
    <i>
      <x v="21"/>
    </i>
    <i>
      <x v="22"/>
    </i>
    <i t="grand">
      <x/>
    </i>
  </rowItems>
  <colItems count="1">
    <i/>
  </colItems>
  <dataFields count="1">
    <dataField name="Sum of Review" fld="5" baseField="0" baseItem="0"/>
  </dataField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B93205-8C01-4798-84CD-54712881425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items count="111">
        <item x="24"/>
        <item x="53"/>
        <item x="50"/>
        <item x="43"/>
        <item x="54"/>
        <item x="66"/>
        <item x="14"/>
        <item x="10"/>
        <item x="37"/>
        <item x="99"/>
        <item x="106"/>
        <item x="78"/>
        <item x="108"/>
        <item x="12"/>
        <item x="33"/>
        <item x="40"/>
        <item x="2"/>
        <item x="17"/>
        <item x="19"/>
        <item x="55"/>
        <item x="100"/>
        <item x="83"/>
        <item x="59"/>
        <item x="63"/>
        <item x="9"/>
        <item x="73"/>
        <item x="34"/>
        <item x="36"/>
        <item x="38"/>
        <item x="27"/>
        <item x="0"/>
        <item x="70"/>
        <item x="30"/>
        <item x="47"/>
        <item x="87"/>
        <item x="26"/>
        <item x="31"/>
        <item x="18"/>
        <item x="74"/>
        <item x="32"/>
        <item x="71"/>
        <item x="28"/>
        <item x="56"/>
        <item x="65"/>
        <item x="21"/>
        <item x="93"/>
        <item x="77"/>
        <item x="41"/>
        <item x="80"/>
        <item x="45"/>
        <item x="16"/>
        <item x="42"/>
        <item x="90"/>
        <item x="76"/>
        <item x="98"/>
        <item x="51"/>
        <item x="48"/>
        <item x="13"/>
        <item x="8"/>
        <item x="86"/>
        <item x="89"/>
        <item x="57"/>
        <item x="88"/>
        <item x="75"/>
        <item x="69"/>
        <item x="20"/>
        <item x="22"/>
        <item x="1"/>
        <item x="3"/>
        <item x="68"/>
        <item x="7"/>
        <item x="5"/>
        <item x="6"/>
        <item x="61"/>
        <item x="49"/>
        <item x="39"/>
        <item x="15"/>
        <item x="60"/>
        <item x="92"/>
        <item x="82"/>
        <item x="29"/>
        <item x="62"/>
        <item x="4"/>
        <item x="102"/>
        <item x="52"/>
        <item x="84"/>
        <item x="95"/>
        <item x="91"/>
        <item x="103"/>
        <item x="97"/>
        <item x="46"/>
        <item x="35"/>
        <item x="105"/>
        <item x="44"/>
        <item x="11"/>
        <item x="79"/>
        <item x="96"/>
        <item x="104"/>
        <item x="101"/>
        <item x="58"/>
        <item x="107"/>
        <item x="72"/>
        <item x="25"/>
        <item x="94"/>
        <item x="64"/>
        <item x="85"/>
        <item x="81"/>
        <item x="23"/>
        <item x="67"/>
        <item x="109"/>
        <item t="default"/>
      </items>
    </pivotField>
    <pivotField showAll="0"/>
    <pivotField showAll="0"/>
    <pivotField showAll="0"/>
    <pivotField showAll="0"/>
    <pivotField showAll="0"/>
    <pivotField showAll="0"/>
    <pivotField axis="axisRow" dataField="1" multipleItemSelectionAllowed="1" showAll="0">
      <items count="5">
        <item x="1"/>
        <item x="2"/>
        <item x="0"/>
        <item h="1" x="3"/>
        <item t="default"/>
      </items>
    </pivotField>
    <pivotField showAll="0">
      <items count="6">
        <item x="0"/>
        <item x="2"/>
        <item x="1"/>
        <item x="4"/>
        <item x="3"/>
        <item t="default"/>
      </items>
    </pivotField>
  </pivotFields>
  <rowFields count="1">
    <field x="7"/>
  </rowFields>
  <rowItems count="4">
    <i>
      <x/>
    </i>
    <i>
      <x v="1"/>
    </i>
    <i>
      <x v="2"/>
    </i>
    <i t="grand">
      <x/>
    </i>
  </rowItems>
  <colItems count="1">
    <i/>
  </colItems>
  <dataFields count="1">
    <dataField name="Count of product category 1" fld="7"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76E81-BE8D-4AF7-9FD0-81B52F5CB3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2" showAll="0"/>
    <pivotField numFmtId="2" showAll="0"/>
    <pivotField showAll="0"/>
    <pivotField numFmtId="9" showAll="0">
      <items count="48">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t="default"/>
      </items>
    </pivotField>
    <pivotField showAll="0"/>
    <pivotField showAll="0">
      <items count="25">
        <item x="22"/>
        <item x="15"/>
        <item x="19"/>
        <item x="20"/>
        <item x="13"/>
        <item x="21"/>
        <item x="17"/>
        <item x="16"/>
        <item x="18"/>
        <item x="14"/>
        <item x="9"/>
        <item x="6"/>
        <item h="1" x="23"/>
        <item x="5"/>
        <item x="1"/>
        <item x="7"/>
        <item x="12"/>
        <item x="11"/>
        <item x="0"/>
        <item x="2"/>
        <item x="3"/>
        <item x="4"/>
        <item x="8"/>
        <item h="1" x="10"/>
        <item t="default"/>
      </items>
    </pivotField>
    <pivotField showAll="0">
      <items count="5">
        <item x="1"/>
        <item x="0"/>
        <item x="2"/>
        <item x="3"/>
        <item t="default"/>
      </items>
    </pivotField>
    <pivotField axis="axisRow" showAll="0">
      <items count="5">
        <item x="1"/>
        <item x="2"/>
        <item x="0"/>
        <item x="3"/>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D8528C-4E38-43A6-85E6-8CF77B81AE59}"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numFmtId="2" showAll="0"/>
    <pivotField showAll="0"/>
    <pivotField showAll="0">
      <items count="106">
        <item x="103"/>
        <item x="102"/>
        <item x="101"/>
        <item x="100"/>
        <item x="99"/>
        <item x="98"/>
        <item x="97"/>
        <item x="37"/>
        <item x="96"/>
        <item x="95"/>
        <item x="94"/>
        <item x="93"/>
        <item x="92"/>
        <item x="91"/>
        <item x="90"/>
        <item x="89"/>
        <item x="6"/>
        <item x="88"/>
        <item x="5"/>
        <item x="26"/>
        <item x="30"/>
        <item x="87"/>
        <item x="17"/>
        <item x="86"/>
        <item x="85"/>
        <item x="84"/>
        <item x="50"/>
        <item x="83"/>
        <item x="25"/>
        <item x="34"/>
        <item x="82"/>
        <item x="81"/>
        <item x="33"/>
        <item x="47"/>
        <item x="48"/>
        <item x="43"/>
        <item x="4"/>
        <item x="80"/>
        <item x="46"/>
        <item x="21"/>
        <item x="42"/>
        <item x="79"/>
        <item x="44"/>
        <item x="55"/>
        <item x="78"/>
        <item x="32"/>
        <item x="29"/>
        <item x="9"/>
        <item x="77"/>
        <item x="22"/>
        <item x="76"/>
        <item x="12"/>
        <item x="41"/>
        <item x="75"/>
        <item x="20"/>
        <item x="74"/>
        <item x="31"/>
        <item x="73"/>
        <item x="8"/>
        <item x="72"/>
        <item x="71"/>
        <item x="36"/>
        <item x="70"/>
        <item x="69"/>
        <item x="45"/>
        <item x="68"/>
        <item x="16"/>
        <item x="11"/>
        <item x="15"/>
        <item x="19"/>
        <item x="14"/>
        <item x="28"/>
        <item x="67"/>
        <item x="66"/>
        <item x="65"/>
        <item x="64"/>
        <item x="27"/>
        <item x="52"/>
        <item x="63"/>
        <item x="51"/>
        <item x="62"/>
        <item x="18"/>
        <item x="10"/>
        <item x="40"/>
        <item x="3"/>
        <item x="2"/>
        <item x="13"/>
        <item x="49"/>
        <item x="61"/>
        <item x="39"/>
        <item x="60"/>
        <item x="1"/>
        <item x="59"/>
        <item x="35"/>
        <item x="58"/>
        <item x="54"/>
        <item x="7"/>
        <item x="24"/>
        <item x="57"/>
        <item x="56"/>
        <item x="0"/>
        <item x="38"/>
        <item x="23"/>
        <item x="53"/>
        <item x="104"/>
        <item t="default"/>
      </items>
    </pivotField>
    <pivotField showAll="0">
      <items count="49">
        <item x="46"/>
        <item x="44"/>
        <item x="45"/>
        <item x="41"/>
        <item x="42"/>
        <item x="26"/>
        <item x="43"/>
        <item x="35"/>
        <item x="40"/>
        <item x="29"/>
        <item x="14"/>
        <item x="25"/>
        <item x="2"/>
        <item x="33"/>
        <item x="18"/>
        <item x="13"/>
        <item x="12"/>
        <item x="7"/>
        <item x="10"/>
        <item x="31"/>
        <item x="24"/>
        <item x="28"/>
        <item x="23"/>
        <item x="11"/>
        <item x="15"/>
        <item x="37"/>
        <item x="9"/>
        <item x="34"/>
        <item x="16"/>
        <item x="30"/>
        <item x="1"/>
        <item x="21"/>
        <item x="17"/>
        <item x="32"/>
        <item x="27"/>
        <item x="5"/>
        <item x="8"/>
        <item x="20"/>
        <item x="0"/>
        <item x="36"/>
        <item x="3"/>
        <item x="22"/>
        <item x="4"/>
        <item x="19"/>
        <item x="6"/>
        <item x="39"/>
        <item x="38"/>
        <item x="47"/>
        <item t="default"/>
      </items>
    </pivotField>
    <pivotField showAll="0"/>
    <pivotField dataField="1" showAll="0">
      <items count="25">
        <item x="22"/>
        <item x="21"/>
        <item x="20"/>
        <item x="19"/>
        <item x="18"/>
        <item x="17"/>
        <item x="16"/>
        <item x="14"/>
        <item x="13"/>
        <item x="12"/>
        <item x="11"/>
        <item x="15"/>
        <item x="10"/>
        <item x="9"/>
        <item x="8"/>
        <item x="7"/>
        <item x="6"/>
        <item x="5"/>
        <item x="4"/>
        <item x="3"/>
        <item x="2"/>
        <item x="1"/>
        <item x="0"/>
        <item x="23"/>
        <item t="default"/>
      </items>
    </pivotField>
    <pivotField showAll="0">
      <items count="5">
        <item x="1"/>
        <item x="0"/>
        <item x="2"/>
        <item h="1" x="3"/>
        <item t="default"/>
      </items>
    </pivotField>
    <pivotField axis="axisRow" showAll="0">
      <items count="5">
        <item x="0"/>
        <item x="2"/>
        <item x="1"/>
        <item h="1" x="3"/>
        <item t="default"/>
      </items>
    </pivotField>
  </pivotFields>
  <rowFields count="1">
    <field x="8"/>
  </rowFields>
  <rowItems count="4">
    <i>
      <x/>
    </i>
    <i>
      <x v="1"/>
    </i>
    <i>
      <x v="2"/>
    </i>
    <i t="grand">
      <x/>
    </i>
  </rowItems>
  <colItems count="1">
    <i/>
  </colItems>
  <dataFields count="1">
    <dataField name="Average of Ratingd" fld="6" subtotal="average" baseField="8"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86F092-BAB1-4988-B540-3D5B3C25B010}"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numFmtId="2" showAll="0"/>
    <pivotField showAll="0"/>
    <pivotField showAll="0"/>
    <pivotField showAll="0"/>
    <pivotField dataField="1" showAll="0">
      <items count="27">
        <item x="1"/>
        <item x="2"/>
        <item x="0"/>
        <item x="3"/>
        <item x="13"/>
        <item x="5"/>
        <item x="15"/>
        <item x="19"/>
        <item x="4"/>
        <item x="18"/>
        <item x="25"/>
        <item x="14"/>
        <item x="17"/>
        <item x="20"/>
        <item x="22"/>
        <item x="6"/>
        <item x="9"/>
        <item x="12"/>
        <item x="16"/>
        <item x="7"/>
        <item x="8"/>
        <item x="11"/>
        <item x="10"/>
        <item x="21"/>
        <item x="24"/>
        <item x="23"/>
        <item t="default"/>
      </items>
    </pivotField>
    <pivotField showAll="0"/>
    <pivotField showAll="0"/>
    <pivotField axis="axisRow" showAll="0">
      <items count="5">
        <item x="0"/>
        <item x="2"/>
        <item x="1"/>
        <item h="1" x="3"/>
        <item t="default"/>
      </items>
    </pivotField>
  </pivotFields>
  <rowFields count="1">
    <field x="8"/>
  </rowFields>
  <rowItems count="4">
    <i>
      <x/>
    </i>
    <i>
      <x v="1"/>
    </i>
    <i>
      <x v="2"/>
    </i>
    <i t="grand">
      <x/>
    </i>
  </rowItems>
  <colItems count="1">
    <i/>
  </colItems>
  <dataFields count="1">
    <dataField name="Sum of Review"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6E1140-D151-4F4D-9437-608679FFA07C}"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9">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1" showAll="0"/>
    <pivotField dataField="1" numFmtId="164" showAll="0" sortType="ascending">
      <items count="4">
        <item x="0"/>
        <item x="1"/>
        <item x="2"/>
        <item t="default"/>
      </items>
    </pivotField>
    <pivotField showAll="0"/>
    <pivotField showAll="0"/>
  </pivotFields>
  <rowFields count="1">
    <field x="0"/>
  </rowFields>
  <rowItems count="6">
    <i>
      <x v="4"/>
    </i>
    <i>
      <x/>
    </i>
    <i>
      <x v="3"/>
    </i>
    <i>
      <x v="2"/>
    </i>
    <i>
      <x v="1"/>
    </i>
    <i t="grand">
      <x/>
    </i>
  </rowItems>
  <colItems count="1">
    <i/>
  </colItems>
  <dataFields count="1">
    <dataField name="Sum of Ratingd" fld="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0B7C69-5DFF-4B66-9957-802024B6C30A}"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9">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1" showAll="0"/>
    <pivotField dataField="1" numFmtId="164" showAll="0"/>
    <pivotField showAll="0"/>
    <pivotField showAll="0"/>
  </pivotFields>
  <rowFields count="1">
    <field x="0"/>
  </rowFields>
  <rowItems count="6">
    <i>
      <x v="3"/>
    </i>
    <i>
      <x/>
    </i>
    <i>
      <x v="4"/>
    </i>
    <i>
      <x v="1"/>
    </i>
    <i>
      <x v="2"/>
    </i>
    <i t="grand">
      <x/>
    </i>
  </rowItems>
  <colItems count="1">
    <i/>
  </colItems>
  <dataFields count="1">
    <dataField name="Sum of Ratingd" fld="6" baseField="0" baseItem="0" numFmtId="164"/>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81467F-6248-41F0-A110-854F58D0FE7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9">
    <pivotField axis="axisRow" showAll="0" sortType="descending">
      <items count="11">
        <item x="9"/>
        <item x="0"/>
        <item x="5"/>
        <item x="4"/>
        <item x="3"/>
        <item x="6"/>
        <item x="2"/>
        <item x="8"/>
        <item x="1"/>
        <item x="7"/>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1" showAll="0"/>
    <pivotField dataField="1" numFmtId="164" showAll="0">
      <items count="3">
        <item x="1"/>
        <item x="0"/>
        <item t="default"/>
      </items>
    </pivotField>
    <pivotField showAll="0"/>
    <pivotField showAll="0"/>
  </pivotFields>
  <rowFields count="1">
    <field x="0"/>
  </rowFields>
  <rowItems count="11">
    <i>
      <x v="3"/>
    </i>
    <i>
      <x v="6"/>
    </i>
    <i>
      <x v="5"/>
    </i>
    <i>
      <x v="1"/>
    </i>
    <i>
      <x v="8"/>
    </i>
    <i>
      <x v="2"/>
    </i>
    <i>
      <x v="4"/>
    </i>
    <i>
      <x v="7"/>
    </i>
    <i>
      <x v="9"/>
    </i>
    <i>
      <x/>
    </i>
    <i t="grand">
      <x/>
    </i>
  </rowItems>
  <colItems count="1">
    <i/>
  </colItems>
  <dataFields count="1">
    <dataField name="Sum of Ratingd" fld="6" baseField="0" baseItem="0" numFmtId="164"/>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82A1C2-CEC1-4E74-AEAE-BC083975113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9">
    <pivotField axis="axisRow" showAll="0" sortType="descending">
      <items count="12">
        <item x="5"/>
        <item x="1"/>
        <item x="2"/>
        <item x="4"/>
        <item x="10"/>
        <item x="7"/>
        <item x="9"/>
        <item x="3"/>
        <item x="8"/>
        <item x="6"/>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2"/>
        <item x="7"/>
        <item x="6"/>
        <item x="8"/>
        <item x="4"/>
        <item x="3"/>
        <item x="5"/>
        <item x="1"/>
        <item h="1" x="0"/>
        <item t="default"/>
      </items>
    </pivotField>
    <pivotField dataField="1" numFmtId="1" showAll="0"/>
    <pivotField showAll="0">
      <items count="8">
        <item x="1"/>
        <item x="6"/>
        <item x="4"/>
        <item x="5"/>
        <item x="2"/>
        <item x="3"/>
        <item h="1" x="0"/>
        <item t="default"/>
      </items>
    </pivotField>
    <pivotField showAll="0"/>
    <pivotField showAll="0"/>
  </pivotFields>
  <rowFields count="1">
    <field x="0"/>
  </rowFields>
  <rowItems count="11">
    <i>
      <x v="1"/>
    </i>
    <i>
      <x v="2"/>
    </i>
    <i>
      <x v="7"/>
    </i>
    <i>
      <x v="3"/>
    </i>
    <i>
      <x/>
    </i>
    <i>
      <x v="9"/>
    </i>
    <i>
      <x v="5"/>
    </i>
    <i>
      <x v="8"/>
    </i>
    <i>
      <x v="6"/>
    </i>
    <i>
      <x v="4"/>
    </i>
    <i t="grand">
      <x/>
    </i>
  </rowItems>
  <colItems count="1">
    <i/>
  </colItems>
  <dataFields count="1">
    <dataField name="Sum of Review" fld="5" baseField="0" baseItem="0" numFmtId="1"/>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1ECC8C-E275-49C9-8825-F24CA3DBE203}"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axis="axisRow" showAll="0" sortType="descending">
      <items count="11">
        <item x="2"/>
        <item x="9"/>
        <item x="0"/>
        <item x="8"/>
        <item x="1"/>
        <item x="3"/>
        <item x="7"/>
        <item x="5"/>
        <item x="6"/>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items count="11">
        <item x="9"/>
        <item x="8"/>
        <item x="7"/>
        <item x="6"/>
        <item x="5"/>
        <item x="4"/>
        <item x="3"/>
        <item x="2"/>
        <item x="1"/>
        <item x="0"/>
        <item t="default"/>
      </items>
    </pivotField>
    <pivotField numFmtId="9" showAll="0"/>
    <pivotField showAll="0"/>
    <pivotField showAll="0"/>
    <pivotField showAll="0"/>
    <pivotField showAll="0"/>
  </pivotFields>
  <rowFields count="1">
    <field x="0"/>
  </rowFields>
  <rowItems count="11">
    <i>
      <x v="2"/>
    </i>
    <i>
      <x v="4"/>
    </i>
    <i>
      <x/>
    </i>
    <i>
      <x v="5"/>
    </i>
    <i>
      <x v="9"/>
    </i>
    <i>
      <x v="7"/>
    </i>
    <i>
      <x v="8"/>
    </i>
    <i>
      <x v="6"/>
    </i>
    <i>
      <x v="3"/>
    </i>
    <i>
      <x v="1"/>
    </i>
    <i t="grand">
      <x/>
    </i>
  </rowItems>
  <colItems count="1">
    <i/>
  </colItems>
  <dataFields count="1">
    <dataField name="Sum of discount" fld="3"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9F0999-72F8-48CB-BAAC-8959FD7820D2}" sourceName="Product">
  <pivotTables>
    <pivotTable tabId="18" name="PivotTable9"/>
  </pivotTables>
  <data>
    <tabular pivotCacheId="2021308075">
      <items count="11">
        <i x="5" s="1"/>
        <i x="1" s="1"/>
        <i x="2" s="1"/>
        <i x="4" s="1"/>
        <i x="10" s="1"/>
        <i x="7" s="1"/>
        <i x="9" s="1"/>
        <i x="3" s="1"/>
        <i x="8" s="1"/>
        <i x="6"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2" xr10:uid="{1DEFABF2-2D20-4A19-A441-57524654B275}" sourceName="Discount2">
  <pivotTables>
    <pivotTable tabId="18" name="PivotTable9"/>
  </pivotTables>
  <data>
    <tabular pivotCacheId="2021308075">
      <items count="9">
        <i x="2" s="1"/>
        <i x="7" s="1"/>
        <i x="6" s="1"/>
        <i x="8" s="1"/>
        <i x="4" s="1"/>
        <i x="3" s="1"/>
        <i x="5" s="1"/>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 xr10:uid="{B3536EFA-E07C-4CE3-A849-609B8A7A98FF}" sourceName="Ratingd">
  <pivotTables>
    <pivotTable tabId="18" name="PivotTable9"/>
  </pivotTables>
  <data>
    <tabular pivotCacheId="2021308075">
      <items count="7">
        <i x="1" s="1"/>
        <i x="6" s="1"/>
        <i x="4" s="1"/>
        <i x="5" s="1"/>
        <i x="2" s="1"/>
        <i x="3"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21" xr10:uid="{9AD7D6BB-AE1A-4CE0-BCA4-137AC667FB02}" sourceName="Discount2">
  <pivotTables>
    <pivotTable tabId="3" name="PivotTable2"/>
    <pivotTable tabId="24" name="PivotTable5"/>
    <pivotTable tabId="4" name="PivotTable3"/>
  </pivotTables>
  <data>
    <tabular pivotCacheId="1314297750">
      <items count="47">
        <i x="5" s="1"/>
        <i x="34" s="1"/>
        <i x="21" s="1"/>
        <i x="16" s="1"/>
        <i x="9" s="1"/>
        <i x="43" s="1"/>
        <i x="32" s="1"/>
        <i x="19" s="1"/>
        <i x="6" s="1"/>
        <i x="2" s="1"/>
        <i x="4" s="1"/>
        <i x="26" s="1"/>
        <i x="36" s="1"/>
        <i x="23" s="1"/>
        <i x="22" s="1"/>
        <i x="12" s="1"/>
        <i x="10" s="1"/>
        <i x="18" s="1"/>
        <i x="3" s="1"/>
        <i x="0" s="1"/>
        <i x="35" s="1"/>
        <i x="27" s="1"/>
        <i x="28" s="1"/>
        <i x="11" s="1"/>
        <i x="37" s="1"/>
        <i x="8" s="1"/>
        <i x="14" s="1"/>
        <i x="1" s="1"/>
        <i x="25" s="1"/>
        <i x="15" s="1"/>
        <i x="29" s="1"/>
        <i x="13" s="1"/>
        <i x="24" s="1"/>
        <i x="17" s="1"/>
        <i x="20" s="1"/>
        <i x="7" s="1"/>
        <i x="44" s="1" nd="1"/>
        <i x="30" s="1" nd="1"/>
        <i x="33" s="1" nd="1"/>
        <i x="38" s="1" nd="1"/>
        <i x="42" s="1" nd="1"/>
        <i x="41" s="1" nd="1"/>
        <i x="40" s="1" nd="1"/>
        <i x="39" s="1" nd="1"/>
        <i x="46" s="1" nd="1"/>
        <i x="31" s="1" nd="1"/>
        <i x="4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1" xr10:uid="{47AE633B-4EE0-4438-8717-E9DC14E5C41F}" sourceName="Ratingd">
  <pivotTables>
    <pivotTable tabId="4" name="PivotTable3"/>
    <pivotTable tabId="24" name="PivotTable5"/>
  </pivotTables>
  <data>
    <tabular pivotCacheId="1314297750">
      <items count="24">
        <i x="22" s="1"/>
        <i x="15" s="1"/>
        <i x="19" s="1"/>
        <i x="20" s="1"/>
        <i x="13" s="1"/>
        <i x="21" s="1"/>
        <i x="17" s="1"/>
        <i x="16" s="1"/>
        <i x="18" s="1"/>
        <i x="14" s="1"/>
        <i x="9" s="1"/>
        <i x="6" s="1"/>
        <i x="5" s="1"/>
        <i x="1" s="1"/>
        <i x="7" s="1"/>
        <i x="12" s="1"/>
        <i x="11" s="1"/>
        <i x="0" s="1"/>
        <i x="2" s="1"/>
        <i x="3" s="1"/>
        <i x="4" s="1"/>
        <i x="8" s="1"/>
        <i x="10"/>
        <i x="2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88DEB8FE-4E72-4D32-AED7-94544C4B161A}" sourceName="discount">
  <pivotTables>
    <pivotTable tabId="19" name="PivotTable10"/>
  </pivotTables>
  <data>
    <tabular pivotCacheId="185276144">
      <items count="10">
        <i x="9" s="1"/>
        <i x="8" s="1"/>
        <i x="7" s="1"/>
        <i x="6" s="1"/>
        <i x="5" s="1"/>
        <i x="4" s="1"/>
        <i x="3" s="1"/>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34C5E45-DA92-45FE-89BF-B7E08273B25E}" sourceName="Product">
  <pivotTables>
    <pivotTable tabId="16" name="PivotTable7"/>
  </pivotTables>
  <data>
    <tabular pivotCacheId="2036332838">
      <items count="10">
        <i x="9" s="1"/>
        <i x="0" s="1"/>
        <i x="5" s="1"/>
        <i x="4" s="1"/>
        <i x="3" s="1"/>
        <i x="6" s="1"/>
        <i x="2" s="1"/>
        <i x="8" s="1"/>
        <i x="1"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7615C5C7-EFBA-489D-B1A2-1616EBB198CF}" sourceName="Product">
  <pivotTables>
    <pivotTable tabId="24" name="PivotTable5"/>
  </pivotTables>
  <data>
    <tabular pivotCacheId="1314297750">
      <items count="110">
        <i x="38" s="1"/>
        <i x="11" s="1"/>
        <i x="0" s="1"/>
        <i x="27" s="1"/>
        <i x="31" s="1"/>
        <i x="61" s="1"/>
        <i x="9" s="1"/>
        <i x="6" s="1"/>
        <i x="5" s="1"/>
        <i x="66" s="1"/>
        <i x="65" s="1"/>
        <i x="19" s="1"/>
        <i x="20" s="1"/>
        <i x="12" s="1"/>
        <i x="58" s="1"/>
        <i x="28" s="1"/>
        <i x="34" s="1"/>
        <i x="33" s="1"/>
        <i x="60" s="1"/>
        <i x="71" s="1"/>
        <i x="67" s="1"/>
        <i x="15" s="1"/>
        <i x="64" s="1"/>
        <i x="78" s="1"/>
        <i x="36" s="1"/>
        <i x="7" s="1"/>
        <i x="35" s="1"/>
        <i x="72" s="1"/>
        <i x="25" s="1"/>
        <i x="30" s="1"/>
        <i x="23" s="1"/>
        <i x="10" s="1"/>
        <i x="81" s="1"/>
        <i x="62" s="1"/>
        <i x="98" s="1"/>
        <i x="68" s="1"/>
        <i x="24" s="1"/>
        <i x="17" s="1"/>
        <i x="13" s="1"/>
        <i x="8" s="1"/>
        <i x="32" s="1"/>
        <i x="22" s="1"/>
        <i x="18" s="1"/>
        <i x="77" s="1"/>
        <i x="1" s="1"/>
        <i x="14" s="1"/>
        <i x="59" s="1"/>
        <i x="16" s="1"/>
        <i x="4" s="1"/>
        <i x="2" s="1"/>
        <i x="26" s="1"/>
        <i x="37" s="1"/>
        <i x="63" s="1"/>
        <i x="107" s="1"/>
        <i x="69" s="1"/>
        <i x="3" s="1"/>
        <i x="70" s="1"/>
        <i x="57" s="1" nd="1"/>
        <i x="101" s="1" nd="1"/>
        <i x="80" s="1" nd="1"/>
        <i x="100" s="1" nd="1"/>
        <i x="91" s="1" nd="1"/>
        <i x="47" s="1" nd="1"/>
        <i x="73" s="1" nd="1"/>
        <i x="74" s="1" nd="1"/>
        <i x="94" s="1" nd="1"/>
        <i x="40" s="1" nd="1"/>
        <i x="21" s="1" nd="1"/>
        <i x="79" s="1" nd="1"/>
        <i x="106" s="1" nd="1"/>
        <i x="90" s="1" nd="1"/>
        <i x="45" s="1" nd="1"/>
        <i x="76" s="1" nd="1"/>
        <i x="97" s="1" nd="1"/>
        <i x="99" s="1" nd="1"/>
        <i x="56" s="1" nd="1"/>
        <i x="96" s="1" nd="1"/>
        <i x="42" s="1" nd="1"/>
        <i x="108" s="1" nd="1"/>
        <i x="49" s="1" nd="1"/>
        <i x="46" s="1" nd="1"/>
        <i x="83" s="1" nd="1"/>
        <i x="103" s="1" nd="1"/>
        <i x="44" s="1" nd="1"/>
        <i x="55" s="1" nd="1"/>
        <i x="48" s="1" nd="1"/>
        <i x="75" s="1" nd="1"/>
        <i x="53" s="1" nd="1"/>
        <i x="39" s="1" nd="1"/>
        <i x="102" s="1" nd="1"/>
        <i x="95" s="1" nd="1"/>
        <i x="41" s="1" nd="1"/>
        <i x="86" s="1" nd="1"/>
        <i x="29" s="1" nd="1"/>
        <i x="52" s="1" nd="1"/>
        <i x="82" s="1" nd="1"/>
        <i x="84" s="1" nd="1"/>
        <i x="50" s="1" nd="1"/>
        <i x="51" s="1" nd="1"/>
        <i x="93" s="1" nd="1"/>
        <i x="88" s="1" nd="1"/>
        <i x="89" s="1" nd="1"/>
        <i x="43" s="1" nd="1"/>
        <i x="104" s="1" nd="1"/>
        <i x="54" s="1" nd="1"/>
        <i x="105" s="1" nd="1"/>
        <i x="87" s="1" nd="1"/>
        <i x="92" s="1" nd="1"/>
        <i x="85" s="1" nd="1"/>
        <i x="10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2" xr10:uid="{2D196B87-8917-462F-8404-1681935771F9}" sourceName="product category 2">
  <pivotTables>
    <pivotTable tabId="24" name="PivotTable5"/>
  </pivotTables>
  <data>
    <tabular pivotCacheId="1314297750">
      <items count="4">
        <i x="1" s="1"/>
        <i x="2" s="1"/>
        <i x="0" s="1"/>
        <i x="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E9D56D2A-7536-4106-98F7-EE9361F33147}" sourceName="Product">
  <pivotTables>
    <pivotTable tabId="22" name="PivotTable3"/>
  </pivotTables>
  <data>
    <tabular pivotCacheId="698038399">
      <items count="110">
        <i x="24" s="1"/>
        <i x="53" s="1"/>
        <i x="50" s="1"/>
        <i x="43" s="1"/>
        <i x="54" s="1"/>
        <i x="66" s="1"/>
        <i x="14" s="1"/>
        <i x="10" s="1"/>
        <i x="37" s="1"/>
        <i x="99" s="1"/>
        <i x="106" s="1"/>
        <i x="78" s="1"/>
        <i x="108" s="1"/>
        <i x="12" s="1"/>
        <i x="33" s="1"/>
        <i x="40" s="1"/>
        <i x="2" s="1"/>
        <i x="17" s="1"/>
        <i x="19" s="1"/>
        <i x="55" s="1"/>
        <i x="100" s="1"/>
        <i x="83" s="1"/>
        <i x="59" s="1"/>
        <i x="63" s="1"/>
        <i x="9" s="1"/>
        <i x="73" s="1"/>
        <i x="34" s="1"/>
        <i x="36" s="1"/>
        <i x="38" s="1"/>
        <i x="27" s="1"/>
        <i x="0" s="1"/>
        <i x="70" s="1"/>
        <i x="30" s="1"/>
        <i x="47" s="1"/>
        <i x="87" s="1"/>
        <i x="26" s="1"/>
        <i x="31" s="1"/>
        <i x="18" s="1"/>
        <i x="74" s="1"/>
        <i x="32" s="1"/>
        <i x="71" s="1"/>
        <i x="28" s="1"/>
        <i x="56" s="1"/>
        <i x="65" s="1"/>
        <i x="21" s="1"/>
        <i x="93" s="1"/>
        <i x="77" s="1"/>
        <i x="41" s="1"/>
        <i x="80" s="1"/>
        <i x="45" s="1"/>
        <i x="16" s="1"/>
        <i x="42" s="1"/>
        <i x="90" s="1"/>
        <i x="76" s="1"/>
        <i x="98" s="1"/>
        <i x="51" s="1"/>
        <i x="48" s="1"/>
        <i x="13" s="1"/>
        <i x="8" s="1"/>
        <i x="86" s="1"/>
        <i x="89" s="1"/>
        <i x="57" s="1"/>
        <i x="88" s="1"/>
        <i x="75" s="1"/>
        <i x="69" s="1"/>
        <i x="20" s="1"/>
        <i x="22" s="1"/>
        <i x="1" s="1"/>
        <i x="3" s="1"/>
        <i x="68" s="1"/>
        <i x="7" s="1"/>
        <i x="5" s="1"/>
        <i x="6" s="1"/>
        <i x="61" s="1"/>
        <i x="49" s="1"/>
        <i x="39" s="1"/>
        <i x="15" s="1"/>
        <i x="60" s="1"/>
        <i x="92" s="1"/>
        <i x="82" s="1"/>
        <i x="29" s="1"/>
        <i x="62" s="1"/>
        <i x="4" s="1"/>
        <i x="102" s="1"/>
        <i x="52" s="1"/>
        <i x="84" s="1"/>
        <i x="95" s="1"/>
        <i x="91" s="1"/>
        <i x="103" s="1"/>
        <i x="97" s="1"/>
        <i x="46" s="1"/>
        <i x="35" s="1"/>
        <i x="105" s="1"/>
        <i x="44" s="1"/>
        <i x="11" s="1"/>
        <i x="79" s="1"/>
        <i x="96" s="1"/>
        <i x="104" s="1"/>
        <i x="101" s="1"/>
        <i x="58" s="1"/>
        <i x="107" s="1"/>
        <i x="72" s="1"/>
        <i x="25" s="1"/>
        <i x="94" s="1"/>
        <i x="64" s="1"/>
        <i x="85" s="1"/>
        <i x="81" s="1"/>
        <i x="23" s="1"/>
        <i x="67" s="1"/>
        <i x="109"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1" xr10:uid="{CE10667E-33AF-4015-82B0-56A441400298}" sourceName="product category 1">
  <pivotTables>
    <pivotTable tabId="22" name="PivotTable3"/>
  </pivotTables>
  <data>
    <tabular pivotCacheId="698038399">
      <items count="4">
        <i x="1" s="1"/>
        <i x="2" s="1"/>
        <i x="0" s="1"/>
        <i x="3"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2" xr10:uid="{B607E2FF-5B9D-4F77-AB87-5ACAFB474C0C}" sourceName="Ratingd">
  <pivotTables>
    <pivotTable tabId="32" name="PivotTable11"/>
  </pivotTables>
  <data>
    <tabular pivotCacheId="1378493999">
      <items count="24">
        <i x="22" s="1"/>
        <i x="21" s="1"/>
        <i x="20" s="1"/>
        <i x="19" s="1"/>
        <i x="18" s="1"/>
        <i x="17" s="1"/>
        <i x="16" s="1"/>
        <i x="14" s="1"/>
        <i x="13" s="1"/>
        <i x="12" s="1"/>
        <i x="11" s="1"/>
        <i x="15" s="1"/>
        <i x="10" s="1"/>
        <i x="9" s="1"/>
        <i x="8" s="1"/>
        <i x="7" s="1"/>
        <i x="6" s="1"/>
        <i x="5" s="1"/>
        <i x="4" s="1"/>
        <i x="3" s="1"/>
        <i x="2" s="1"/>
        <i x="1" s="1"/>
        <i x="0" s="1"/>
        <i x="23"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_category" xr10:uid="{549B97C6-BB68-41FA-9BE7-89434AA5FD34}" sourceName="discounts category">
  <pivotTables>
    <pivotTable tabId="32" name="PivotTable11"/>
  </pivotTables>
  <data>
    <tabular pivotCacheId="1378493999">
      <items count="4">
        <i x="0" s="1"/>
        <i x="2" s="1"/>
        <i x="1" s="1"/>
        <i x="3"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FAAF8CD5-B9B9-477C-A56C-E473D4511B7F}" sourceName="Review">
  <pivotTables>
    <pivotTable tabId="33" name="PivotTable12"/>
  </pivotTables>
  <data>
    <tabular pivotCacheId="1640145466">
      <items count="26">
        <i x="1" s="1"/>
        <i x="2" s="1"/>
        <i x="0" s="1"/>
        <i x="3" s="1"/>
        <i x="13" s="1"/>
        <i x="5" s="1"/>
        <i x="15" s="1"/>
        <i x="19" s="1"/>
        <i x="4" s="1"/>
        <i x="18" s="1"/>
        <i x="14" s="1"/>
        <i x="17" s="1"/>
        <i x="20" s="1"/>
        <i x="22" s="1"/>
        <i x="6" s="1"/>
        <i x="9" s="1"/>
        <i x="12" s="1"/>
        <i x="16" s="1"/>
        <i x="7" s="1"/>
        <i x="8" s="1"/>
        <i x="11" s="1"/>
        <i x="10" s="1"/>
        <i x="21" s="1"/>
        <i x="25" s="1" nd="1"/>
        <i x="24" s="1" nd="1"/>
        <i x="23"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_category1" xr10:uid="{4D9B51F0-4212-4E5B-AAF9-178D75348E83}" sourceName="discounts category">
  <pivotTables>
    <pivotTable tabId="33" name="PivotTable12"/>
  </pivotTables>
  <data>
    <tabular pivotCacheId="1640145466">
      <items count="4">
        <i x="0" s="1"/>
        <i x="2"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2 2" xr10:uid="{650C5B5C-924D-4E6E-A699-05DB244EF957}" cache="Slicer_Discount21" caption="Dis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d 2" xr10:uid="{2B6DB4CA-2755-4B0A-90B6-4467FC90B27F}" cache="Slicer_Ratingd1" caption="Rating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C7FD8918-3640-4FB0-BC91-06144ABD3F89}" cache="Slicer_Product2" caption="Product" rowHeight="241300"/>
  <slicer name="product category 1" xr10:uid="{EF37FB61-002E-4499-AB67-A2BF16767000}" cache="Slicer_product_category_1" caption="product category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42CC542A-DC15-4B5E-9559-2C9729B8AA87}" cache="Slicer_Product3" caption="Product" rowHeight="241300"/>
  <slicer name="product category 2" xr10:uid="{F380D5B6-333E-4766-BA30-25A14A7491C2}" cache="Slicer_product_category_2" caption="product category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d 1" xr10:uid="{6456FB5F-456E-497C-A5CA-E8F322078E47}" cache="Slicer_Ratingd2" caption="Ratingd" rowHeight="241300"/>
  <slicer name="discounts category" xr10:uid="{832434D3-141B-4BFA-AA5B-9467280AB360}" cache="Slicer_discounts_category" caption="discounts categor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3A4EB995-BDA9-42FB-A712-287D1B274D91}" cache="Slicer_Review" caption="Review" rowHeight="241300"/>
  <slicer name="discounts category 1" xr10:uid="{722AB7D6-2451-405E-8F34-17827A650F9A}" cache="Slicer_discounts_category1" caption="discounts category"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B7B9204-08A3-472F-AF49-F6BC4DA06AA1}" cache="Slicer_Product" caption="Product" rowHeight="241300"/>
  <slicer name="Discount2 3" xr10:uid="{314B2D53-C4F5-46DF-A377-A496B3F5E73D}" cache="Slicer_Discount21" caption="Discount2" rowHeight="241300"/>
  <slicer name="Ratingd 3" xr10:uid="{DAABA398-610E-4898-8C1F-3E16CFC8164A}" cache="Slicer_Ratingd1" caption="Ratingd" rowHeight="241300"/>
  <slicer name="discount 1" xr10:uid="{8FFA5F17-9899-46D3-8E12-C56E116B9C92}" cache="Slicer_discount" caption="discount"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A571033F-8F25-4208-93BE-F97586E06CB2}" cache="Slicer_Product1" caption="Product"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DEC6152-C0C3-4A9D-8DC6-9BAAA5A1D9A8}" cache="Slicer_Product" caption="Product" rowHeight="241300"/>
  <slicer name="Discount2" xr10:uid="{7F38643C-8957-4C1C-8EC6-3198EC3B43BD}" cache="Slicer_Discount2" caption="Discount2" rowHeight="241300"/>
  <slicer name="Ratingd" xr10:uid="{CBA69E87-496E-4149-9630-32E60B0CB5E4}" cache="Slicer_Ratingd" caption="Ratingd"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A5BFD944-142E-40EB-9166-91E426FCC625}" cache="Slicer_discount" caption="discount" startItem="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A6D6-0057-4BBC-9EB8-3D9B90F59727}">
  <dimension ref="A3:B51"/>
  <sheetViews>
    <sheetView workbookViewId="0">
      <selection activeCell="AB15" sqref="AB15"/>
    </sheetView>
  </sheetViews>
  <sheetFormatPr defaultRowHeight="14.5" x14ac:dyDescent="0.35"/>
  <cols>
    <col min="1" max="1" width="12.36328125" bestFit="1" customWidth="1"/>
    <col min="2" max="2" width="13.08984375" bestFit="1" customWidth="1"/>
    <col min="3" max="8" width="1.81640625" bestFit="1" customWidth="1"/>
    <col min="9" max="24" width="2.81640625" bestFit="1" customWidth="1"/>
    <col min="25" max="25" width="6.7265625" bestFit="1" customWidth="1"/>
    <col min="26" max="26" width="10.7265625" bestFit="1" customWidth="1"/>
  </cols>
  <sheetData>
    <row r="3" spans="1:2" x14ac:dyDescent="0.35">
      <c r="A3" s="10" t="s">
        <v>115</v>
      </c>
      <c r="B3" t="s">
        <v>117</v>
      </c>
    </row>
    <row r="4" spans="1:2" x14ac:dyDescent="0.35">
      <c r="A4" s="11">
        <v>0.01</v>
      </c>
    </row>
    <row r="5" spans="1:2" x14ac:dyDescent="0.35">
      <c r="A5" s="11">
        <v>0.02</v>
      </c>
    </row>
    <row r="6" spans="1:2" x14ac:dyDescent="0.35">
      <c r="A6" s="11">
        <v>0.03</v>
      </c>
    </row>
    <row r="7" spans="1:2" x14ac:dyDescent="0.35">
      <c r="A7" s="11">
        <v>0.04</v>
      </c>
    </row>
    <row r="8" spans="1:2" x14ac:dyDescent="0.35">
      <c r="A8" s="11">
        <v>0.08</v>
      </c>
    </row>
    <row r="9" spans="1:2" x14ac:dyDescent="0.35">
      <c r="A9" s="11">
        <v>0.09</v>
      </c>
      <c r="B9">
        <v>15</v>
      </c>
    </row>
    <row r="10" spans="1:2" x14ac:dyDescent="0.35">
      <c r="A10" s="11">
        <v>0.11</v>
      </c>
    </row>
    <row r="11" spans="1:2" x14ac:dyDescent="0.35">
      <c r="A11" s="11">
        <v>0.13</v>
      </c>
      <c r="B11">
        <v>6</v>
      </c>
    </row>
    <row r="12" spans="1:2" x14ac:dyDescent="0.35">
      <c r="A12" s="11">
        <v>0.14000000000000001</v>
      </c>
    </row>
    <row r="13" spans="1:2" x14ac:dyDescent="0.35">
      <c r="A13" s="11">
        <v>0.18</v>
      </c>
      <c r="B13">
        <v>12</v>
      </c>
    </row>
    <row r="14" spans="1:2" x14ac:dyDescent="0.35">
      <c r="A14" s="11">
        <v>0.19</v>
      </c>
      <c r="B14">
        <v>5</v>
      </c>
    </row>
    <row r="15" spans="1:2" x14ac:dyDescent="0.35">
      <c r="A15" s="11">
        <v>0.2</v>
      </c>
      <c r="B15">
        <v>12</v>
      </c>
    </row>
    <row r="16" spans="1:2" x14ac:dyDescent="0.35">
      <c r="A16" s="11">
        <v>0.21</v>
      </c>
      <c r="B16">
        <v>1</v>
      </c>
    </row>
    <row r="17" spans="1:2" x14ac:dyDescent="0.35">
      <c r="A17" s="11">
        <v>0.22</v>
      </c>
      <c r="B17">
        <v>16</v>
      </c>
    </row>
    <row r="18" spans="1:2" x14ac:dyDescent="0.35">
      <c r="A18" s="11">
        <v>0.23</v>
      </c>
      <c r="B18">
        <v>14</v>
      </c>
    </row>
    <row r="19" spans="1:2" x14ac:dyDescent="0.35">
      <c r="A19" s="11">
        <v>0.24</v>
      </c>
      <c r="B19">
        <v>55</v>
      </c>
    </row>
    <row r="20" spans="1:2" x14ac:dyDescent="0.35">
      <c r="A20" s="11">
        <v>0.25</v>
      </c>
      <c r="B20">
        <v>24</v>
      </c>
    </row>
    <row r="21" spans="1:2" x14ac:dyDescent="0.35">
      <c r="A21" s="11">
        <v>0.26</v>
      </c>
      <c r="B21">
        <v>5</v>
      </c>
    </row>
    <row r="22" spans="1:2" x14ac:dyDescent="0.35">
      <c r="A22" s="11">
        <v>0.27</v>
      </c>
      <c r="B22">
        <v>52</v>
      </c>
    </row>
    <row r="23" spans="1:2" x14ac:dyDescent="0.35">
      <c r="A23" s="11">
        <v>0.28999999999999998</v>
      </c>
      <c r="B23">
        <v>5</v>
      </c>
    </row>
    <row r="24" spans="1:2" x14ac:dyDescent="0.35">
      <c r="A24" s="11">
        <v>0.3</v>
      </c>
      <c r="B24">
        <v>20</v>
      </c>
    </row>
    <row r="25" spans="1:2" x14ac:dyDescent="0.35">
      <c r="A25" s="11">
        <v>0.32</v>
      </c>
      <c r="B25">
        <v>13</v>
      </c>
    </row>
    <row r="26" spans="1:2" x14ac:dyDescent="0.35">
      <c r="A26" s="11">
        <v>0.33</v>
      </c>
      <c r="B26">
        <v>9</v>
      </c>
    </row>
    <row r="27" spans="1:2" x14ac:dyDescent="0.35">
      <c r="A27" s="11">
        <v>0.34</v>
      </c>
      <c r="B27">
        <v>51</v>
      </c>
    </row>
    <row r="28" spans="1:2" x14ac:dyDescent="0.35">
      <c r="A28" s="11">
        <v>0.35</v>
      </c>
      <c r="B28">
        <v>55</v>
      </c>
    </row>
    <row r="29" spans="1:2" x14ac:dyDescent="0.35">
      <c r="A29" s="11">
        <v>0.36</v>
      </c>
    </row>
    <row r="30" spans="1:2" x14ac:dyDescent="0.35">
      <c r="A30" s="11">
        <v>0.36956521739130432</v>
      </c>
    </row>
    <row r="31" spans="1:2" x14ac:dyDescent="0.35">
      <c r="A31" s="11">
        <v>0.37</v>
      </c>
      <c r="B31">
        <v>9</v>
      </c>
    </row>
    <row r="32" spans="1:2" x14ac:dyDescent="0.35">
      <c r="A32" s="11">
        <v>0.38</v>
      </c>
      <c r="B32">
        <v>4</v>
      </c>
    </row>
    <row r="33" spans="1:2" x14ac:dyDescent="0.35">
      <c r="A33" s="11">
        <v>0.39</v>
      </c>
      <c r="B33">
        <v>5</v>
      </c>
    </row>
    <row r="34" spans="1:2" x14ac:dyDescent="0.35">
      <c r="A34" s="11">
        <v>0.4</v>
      </c>
      <c r="B34">
        <v>1</v>
      </c>
    </row>
    <row r="35" spans="1:2" x14ac:dyDescent="0.35">
      <c r="A35" s="11">
        <v>0.41</v>
      </c>
      <c r="B35">
        <v>36</v>
      </c>
    </row>
    <row r="36" spans="1:2" x14ac:dyDescent="0.35">
      <c r="A36" s="11">
        <v>0.42</v>
      </c>
      <c r="B36">
        <v>6</v>
      </c>
    </row>
    <row r="37" spans="1:2" x14ac:dyDescent="0.35">
      <c r="A37" s="11">
        <v>0.43</v>
      </c>
      <c r="B37">
        <v>11</v>
      </c>
    </row>
    <row r="38" spans="1:2" x14ac:dyDescent="0.35">
      <c r="A38" s="11">
        <v>0.45</v>
      </c>
      <c r="B38">
        <v>28</v>
      </c>
    </row>
    <row r="39" spans="1:2" x14ac:dyDescent="0.35">
      <c r="A39" s="11">
        <v>0.46</v>
      </c>
      <c r="B39">
        <v>3</v>
      </c>
    </row>
    <row r="40" spans="1:2" x14ac:dyDescent="0.35">
      <c r="A40" s="11">
        <v>0.47</v>
      </c>
      <c r="B40">
        <v>39</v>
      </c>
    </row>
    <row r="41" spans="1:2" x14ac:dyDescent="0.35">
      <c r="A41" s="11">
        <v>0.48</v>
      </c>
      <c r="B41">
        <v>9</v>
      </c>
    </row>
    <row r="42" spans="1:2" x14ac:dyDescent="0.35">
      <c r="A42" s="11">
        <v>0.49</v>
      </c>
      <c r="B42">
        <v>118</v>
      </c>
    </row>
    <row r="43" spans="1:2" x14ac:dyDescent="0.35">
      <c r="A43" s="11">
        <v>0.5</v>
      </c>
      <c r="B43">
        <v>8</v>
      </c>
    </row>
    <row r="44" spans="1:2" x14ac:dyDescent="0.35">
      <c r="A44" s="11">
        <v>0.51</v>
      </c>
      <c r="B44">
        <v>2</v>
      </c>
    </row>
    <row r="45" spans="1:2" x14ac:dyDescent="0.35">
      <c r="A45" s="11">
        <v>0.52</v>
      </c>
      <c r="B45">
        <v>24</v>
      </c>
    </row>
    <row r="46" spans="1:2" x14ac:dyDescent="0.35">
      <c r="A46" s="11">
        <v>0.53</v>
      </c>
      <c r="B46">
        <v>15</v>
      </c>
    </row>
    <row r="47" spans="1:2" x14ac:dyDescent="0.35">
      <c r="A47" s="11">
        <v>0.54</v>
      </c>
      <c r="B47">
        <v>17</v>
      </c>
    </row>
    <row r="48" spans="1:2" x14ac:dyDescent="0.35">
      <c r="A48" s="11">
        <v>0.55000000000000004</v>
      </c>
      <c r="B48">
        <v>18</v>
      </c>
    </row>
    <row r="49" spans="1:2" x14ac:dyDescent="0.35">
      <c r="A49" s="11">
        <v>0.61</v>
      </c>
    </row>
    <row r="50" spans="1:2" x14ac:dyDescent="0.35">
      <c r="A50" s="11">
        <v>0.64</v>
      </c>
    </row>
    <row r="51" spans="1:2" x14ac:dyDescent="0.35">
      <c r="A51" s="11" t="s">
        <v>116</v>
      </c>
      <c r="B51">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7A19-EB72-44E7-896D-6F388C33A84A}">
  <dimension ref="A3:B26"/>
  <sheetViews>
    <sheetView workbookViewId="0">
      <selection activeCell="H17" sqref="H17"/>
    </sheetView>
  </sheetViews>
  <sheetFormatPr defaultRowHeight="14.5" x14ac:dyDescent="0.35"/>
  <cols>
    <col min="1" max="1" width="12.36328125" bestFit="1" customWidth="1"/>
    <col min="2" max="2" width="13.08984375" bestFit="1" customWidth="1"/>
  </cols>
  <sheetData>
    <row r="3" spans="1:2" x14ac:dyDescent="0.35">
      <c r="A3" s="10" t="s">
        <v>115</v>
      </c>
      <c r="B3" t="s">
        <v>117</v>
      </c>
    </row>
    <row r="4" spans="1:2" x14ac:dyDescent="0.35">
      <c r="A4" s="12">
        <v>2</v>
      </c>
      <c r="B4">
        <v>1</v>
      </c>
    </row>
    <row r="5" spans="1:2" x14ac:dyDescent="0.35">
      <c r="A5" s="12">
        <v>2.1</v>
      </c>
      <c r="B5">
        <v>20</v>
      </c>
    </row>
    <row r="6" spans="1:2" x14ac:dyDescent="0.35">
      <c r="A6" s="12">
        <v>2.2000000000000002</v>
      </c>
      <c r="B6">
        <v>12</v>
      </c>
    </row>
    <row r="7" spans="1:2" x14ac:dyDescent="0.35">
      <c r="A7" s="12">
        <v>2.2999999999999998</v>
      </c>
      <c r="B7">
        <v>13</v>
      </c>
    </row>
    <row r="8" spans="1:2" x14ac:dyDescent="0.35">
      <c r="A8" s="12">
        <v>2.5</v>
      </c>
      <c r="B8">
        <v>6</v>
      </c>
    </row>
    <row r="9" spans="1:2" x14ac:dyDescent="0.35">
      <c r="A9" s="12">
        <v>2.6</v>
      </c>
      <c r="B9">
        <v>17</v>
      </c>
    </row>
    <row r="10" spans="1:2" x14ac:dyDescent="0.35">
      <c r="A10" s="12">
        <v>2.7</v>
      </c>
      <c r="B10">
        <v>15</v>
      </c>
    </row>
    <row r="11" spans="1:2" x14ac:dyDescent="0.35">
      <c r="A11" s="12">
        <v>2.8</v>
      </c>
      <c r="B11">
        <v>69</v>
      </c>
    </row>
    <row r="12" spans="1:2" x14ac:dyDescent="0.35">
      <c r="A12" s="12">
        <v>2.9</v>
      </c>
      <c r="B12">
        <v>16</v>
      </c>
    </row>
    <row r="13" spans="1:2" x14ac:dyDescent="0.35">
      <c r="A13" s="12">
        <v>3</v>
      </c>
      <c r="B13">
        <v>26</v>
      </c>
    </row>
    <row r="14" spans="1:2" x14ac:dyDescent="0.35">
      <c r="A14" s="12">
        <v>3.3</v>
      </c>
      <c r="B14">
        <v>13</v>
      </c>
    </row>
    <row r="15" spans="1:2" x14ac:dyDescent="0.35">
      <c r="A15" s="12">
        <v>3.8</v>
      </c>
      <c r="B15">
        <v>30</v>
      </c>
    </row>
    <row r="16" spans="1:2" x14ac:dyDescent="0.35">
      <c r="A16" s="12">
        <v>4</v>
      </c>
      <c r="B16">
        <v>24</v>
      </c>
    </row>
    <row r="17" spans="1:2" x14ac:dyDescent="0.35">
      <c r="A17" s="12">
        <v>4.0999999999999996</v>
      </c>
      <c r="B17">
        <v>46</v>
      </c>
    </row>
    <row r="18" spans="1:2" x14ac:dyDescent="0.35">
      <c r="A18" s="12">
        <v>4.2</v>
      </c>
      <c r="B18">
        <v>9</v>
      </c>
    </row>
    <row r="19" spans="1:2" x14ac:dyDescent="0.35">
      <c r="A19" s="12">
        <v>4.3</v>
      </c>
      <c r="B19">
        <v>61</v>
      </c>
    </row>
    <row r="20" spans="1:2" x14ac:dyDescent="0.35">
      <c r="A20" s="12">
        <v>4.4000000000000004</v>
      </c>
      <c r="B20">
        <v>14</v>
      </c>
    </row>
    <row r="21" spans="1:2" x14ac:dyDescent="0.35">
      <c r="A21" s="12">
        <v>4.5</v>
      </c>
      <c r="B21">
        <v>42</v>
      </c>
    </row>
    <row r="22" spans="1:2" x14ac:dyDescent="0.35">
      <c r="A22" s="12">
        <v>4.5999999999999996</v>
      </c>
      <c r="B22">
        <v>177</v>
      </c>
    </row>
    <row r="23" spans="1:2" x14ac:dyDescent="0.35">
      <c r="A23" s="12">
        <v>4.7</v>
      </c>
      <c r="B23">
        <v>78</v>
      </c>
    </row>
    <row r="24" spans="1:2" x14ac:dyDescent="0.35">
      <c r="A24" s="12">
        <v>4.8</v>
      </c>
      <c r="B24">
        <v>22</v>
      </c>
    </row>
    <row r="25" spans="1:2" x14ac:dyDescent="0.35">
      <c r="A25" s="12">
        <v>5</v>
      </c>
      <c r="B25">
        <v>12</v>
      </c>
    </row>
    <row r="26" spans="1:2" x14ac:dyDescent="0.35">
      <c r="A26" s="12" t="s">
        <v>116</v>
      </c>
      <c r="B26">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E919F-4D9A-490C-B26E-46653A709791}">
  <dimension ref="A3:B7"/>
  <sheetViews>
    <sheetView workbookViewId="0">
      <selection activeCell="A10" sqref="A10"/>
    </sheetView>
  </sheetViews>
  <sheetFormatPr defaultRowHeight="14.5" x14ac:dyDescent="0.35"/>
  <cols>
    <col min="1" max="1" width="12.36328125" bestFit="1" customWidth="1"/>
    <col min="2" max="2" width="24.54296875" bestFit="1" customWidth="1"/>
    <col min="3" max="3" width="8.26953125" bestFit="1" customWidth="1"/>
    <col min="4" max="4" width="4.81640625" bestFit="1" customWidth="1"/>
    <col min="5" max="5" width="6.7265625" bestFit="1" customWidth="1"/>
    <col min="6" max="6" width="10.7265625" bestFit="1" customWidth="1"/>
  </cols>
  <sheetData>
    <row r="3" spans="1:2" x14ac:dyDescent="0.35">
      <c r="A3" s="10" t="s">
        <v>115</v>
      </c>
      <c r="B3" t="s">
        <v>121</v>
      </c>
    </row>
    <row r="4" spans="1:2" x14ac:dyDescent="0.35">
      <c r="A4" s="12" t="s">
        <v>122</v>
      </c>
      <c r="B4">
        <v>25</v>
      </c>
    </row>
    <row r="5" spans="1:2" x14ac:dyDescent="0.35">
      <c r="A5" s="12" t="s">
        <v>123</v>
      </c>
      <c r="B5">
        <v>20</v>
      </c>
    </row>
    <row r="6" spans="1:2" x14ac:dyDescent="0.35">
      <c r="A6" s="12" t="s">
        <v>124</v>
      </c>
      <c r="B6">
        <v>70</v>
      </c>
    </row>
    <row r="7" spans="1:2" x14ac:dyDescent="0.35">
      <c r="A7" s="12" t="s">
        <v>116</v>
      </c>
      <c r="B7">
        <v>115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024D-C02F-4EA4-BE33-3EBABD3A6A41}">
  <dimension ref="A3:B7"/>
  <sheetViews>
    <sheetView topLeftCell="A3" workbookViewId="0">
      <selection activeCell="A7" sqref="A7:XFD7"/>
    </sheetView>
  </sheetViews>
  <sheetFormatPr defaultRowHeight="14.5" x14ac:dyDescent="0.35"/>
  <cols>
    <col min="1" max="1" width="15.36328125" bestFit="1" customWidth="1"/>
    <col min="2" max="2" width="15.26953125" bestFit="1" customWidth="1"/>
  </cols>
  <sheetData>
    <row r="3" spans="1:2" x14ac:dyDescent="0.35">
      <c r="A3" s="10" t="s">
        <v>115</v>
      </c>
      <c r="B3" t="s">
        <v>127</v>
      </c>
    </row>
    <row r="4" spans="1:2" x14ac:dyDescent="0.35">
      <c r="A4" s="12" t="s">
        <v>128</v>
      </c>
      <c r="B4">
        <v>30</v>
      </c>
    </row>
    <row r="5" spans="1:2" x14ac:dyDescent="0.35">
      <c r="A5" s="12" t="s">
        <v>129</v>
      </c>
      <c r="B5">
        <v>4</v>
      </c>
    </row>
    <row r="6" spans="1:2" x14ac:dyDescent="0.35">
      <c r="A6" s="12" t="s">
        <v>130</v>
      </c>
      <c r="B6">
        <v>23</v>
      </c>
    </row>
    <row r="7" spans="1:2" x14ac:dyDescent="0.35">
      <c r="A7" s="12" t="s">
        <v>116</v>
      </c>
      <c r="B7">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A885-12D0-4137-A632-E5F80BA6E99D}">
  <dimension ref="A3:B7"/>
  <sheetViews>
    <sheetView workbookViewId="0">
      <selection activeCell="G18" sqref="G18"/>
    </sheetView>
  </sheetViews>
  <sheetFormatPr defaultRowHeight="14.5" x14ac:dyDescent="0.35"/>
  <cols>
    <col min="1" max="1" width="15.36328125" bestFit="1" customWidth="1"/>
    <col min="2" max="2" width="16.6328125" bestFit="1" customWidth="1"/>
    <col min="3" max="3" width="8.26953125" bestFit="1" customWidth="1"/>
    <col min="4" max="4" width="4.81640625" bestFit="1" customWidth="1"/>
    <col min="5" max="6" width="10.7265625" bestFit="1" customWidth="1"/>
  </cols>
  <sheetData>
    <row r="3" spans="1:2" x14ac:dyDescent="0.35">
      <c r="A3" s="10" t="s">
        <v>115</v>
      </c>
      <c r="B3" t="s">
        <v>133</v>
      </c>
    </row>
    <row r="4" spans="1:2" x14ac:dyDescent="0.35">
      <c r="A4" s="12" t="s">
        <v>128</v>
      </c>
      <c r="B4">
        <v>3.613333333333332</v>
      </c>
    </row>
    <row r="5" spans="1:2" x14ac:dyDescent="0.35">
      <c r="A5" s="12" t="s">
        <v>129</v>
      </c>
      <c r="B5">
        <v>3.7249999999999996</v>
      </c>
    </row>
    <row r="6" spans="1:2" x14ac:dyDescent="0.35">
      <c r="A6" s="12" t="s">
        <v>130</v>
      </c>
      <c r="B6">
        <v>4.2530303030303029</v>
      </c>
    </row>
    <row r="7" spans="1:2" x14ac:dyDescent="0.35">
      <c r="A7" s="12" t="s">
        <v>116</v>
      </c>
      <c r="B7">
        <v>3.885736677115986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0048-BAE0-4951-857C-0688211FDA1E}">
  <dimension ref="A3:B7"/>
  <sheetViews>
    <sheetView workbookViewId="0">
      <selection activeCell="H17" sqref="H17"/>
    </sheetView>
  </sheetViews>
  <sheetFormatPr defaultRowHeight="14.5" x14ac:dyDescent="0.35"/>
  <cols>
    <col min="1" max="1" width="15.36328125" bestFit="1" customWidth="1"/>
    <col min="2" max="2" width="13.08984375" bestFit="1" customWidth="1"/>
  </cols>
  <sheetData>
    <row r="3" spans="1:2" x14ac:dyDescent="0.35">
      <c r="A3" s="10" t="s">
        <v>115</v>
      </c>
      <c r="B3" t="s">
        <v>117</v>
      </c>
    </row>
    <row r="4" spans="1:2" x14ac:dyDescent="0.35">
      <c r="A4" s="12" t="s">
        <v>128</v>
      </c>
      <c r="B4">
        <v>334</v>
      </c>
    </row>
    <row r="5" spans="1:2" x14ac:dyDescent="0.35">
      <c r="A5" s="12" t="s">
        <v>129</v>
      </c>
      <c r="B5">
        <v>38</v>
      </c>
    </row>
    <row r="6" spans="1:2" x14ac:dyDescent="0.35">
      <c r="A6" s="12" t="s">
        <v>130</v>
      </c>
      <c r="B6">
        <v>351</v>
      </c>
    </row>
    <row r="7" spans="1:2" x14ac:dyDescent="0.35">
      <c r="A7" s="12" t="s">
        <v>116</v>
      </c>
      <c r="B7">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FEAD-F1DF-427C-95E2-377A2627E599}">
  <dimension ref="A1:K118"/>
  <sheetViews>
    <sheetView topLeftCell="A107" workbookViewId="0">
      <selection activeCell="A15" sqref="A1:I118"/>
    </sheetView>
  </sheetViews>
  <sheetFormatPr defaultRowHeight="14.5" x14ac:dyDescent="0.35"/>
  <cols>
    <col min="1" max="1" width="89.1796875" bestFit="1" customWidth="1"/>
    <col min="2" max="3" width="18.36328125" style="4" bestFit="1" customWidth="1"/>
    <col min="4" max="4" width="18.36328125" style="4" customWidth="1"/>
    <col min="5" max="5" width="10.453125" bestFit="1" customWidth="1"/>
    <col min="6" max="6" width="9" style="8" bestFit="1" customWidth="1"/>
    <col min="7" max="7" width="10.26953125" style="6" bestFit="1" customWidth="1"/>
    <col min="8" max="8" width="18.90625" bestFit="1" customWidth="1"/>
    <col min="9" max="9" width="16.6328125" bestFit="1" customWidth="1"/>
  </cols>
  <sheetData>
    <row r="1" spans="1:11" x14ac:dyDescent="0.35">
      <c r="A1" s="2" t="s">
        <v>0</v>
      </c>
      <c r="B1" s="3" t="s">
        <v>1</v>
      </c>
      <c r="C1" s="3" t="s">
        <v>2</v>
      </c>
      <c r="D1" s="3" t="s">
        <v>114</v>
      </c>
      <c r="E1" s="2" t="s">
        <v>120</v>
      </c>
      <c r="F1" s="7" t="s">
        <v>3</v>
      </c>
      <c r="G1" s="5" t="s">
        <v>4</v>
      </c>
      <c r="H1" s="2" t="s">
        <v>125</v>
      </c>
      <c r="I1" s="2" t="s">
        <v>126</v>
      </c>
    </row>
    <row r="2" spans="1:11" x14ac:dyDescent="0.35">
      <c r="A2" t="s">
        <v>22</v>
      </c>
      <c r="B2" s="4">
        <v>2025</v>
      </c>
      <c r="C2" s="4">
        <v>3971</v>
      </c>
      <c r="D2" s="4">
        <f t="shared" ref="D2:D33" si="0">C2-B2</f>
        <v>1946</v>
      </c>
      <c r="E2" s="1">
        <v>0.49</v>
      </c>
      <c r="F2" s="8">
        <v>3</v>
      </c>
      <c r="G2" s="6">
        <v>5</v>
      </c>
      <c r="H2" t="str">
        <f t="shared" ref="H2:H22" si="1">IF(G2&lt;3,"poor",IF(G2&lt;=4.5,"average",IF(G2&gt;=4.5,"excellent","")))</f>
        <v>excellent</v>
      </c>
      <c r="I2" t="str">
        <f>IF(E2&lt;20%,"lowdiscount",IF(E2&lt;41%,"medium discount",IF(E2&gt;=41%,"high discount","cant rate")))</f>
        <v>high discount</v>
      </c>
    </row>
    <row r="3" spans="1:11" x14ac:dyDescent="0.35">
      <c r="A3" t="s">
        <v>40</v>
      </c>
      <c r="B3" s="4">
        <v>1620</v>
      </c>
      <c r="C3" s="4">
        <v>2690</v>
      </c>
      <c r="D3" s="4">
        <f t="shared" si="0"/>
        <v>1070</v>
      </c>
      <c r="E3" s="1">
        <v>0.4</v>
      </c>
      <c r="F3" s="8">
        <v>1</v>
      </c>
      <c r="G3" s="6">
        <v>5</v>
      </c>
      <c r="H3" t="str">
        <f t="shared" si="1"/>
        <v>excellent</v>
      </c>
      <c r="I3" t="str">
        <f t="shared" ref="I3:I64" si="2">IF(E3&lt;20%,"lowdiscount",IF(E3&lt;41%,"medium discount",IF(E3&gt;=41%,"high discount","cant rate")))</f>
        <v>medium discount</v>
      </c>
      <c r="K3" s="4"/>
    </row>
    <row r="4" spans="1:11" x14ac:dyDescent="0.35">
      <c r="A4" t="s">
        <v>103</v>
      </c>
      <c r="B4" s="4">
        <v>3640</v>
      </c>
      <c r="C4" s="4">
        <v>4588</v>
      </c>
      <c r="D4" s="4">
        <f t="shared" si="0"/>
        <v>948</v>
      </c>
      <c r="E4" s="1">
        <v>0.21</v>
      </c>
      <c r="F4" s="8">
        <v>1</v>
      </c>
      <c r="G4" s="6">
        <v>5</v>
      </c>
      <c r="H4" t="str">
        <f t="shared" si="1"/>
        <v>excellent</v>
      </c>
      <c r="I4" t="str">
        <f t="shared" si="2"/>
        <v>medium discount</v>
      </c>
    </row>
    <row r="5" spans="1:11" x14ac:dyDescent="0.35">
      <c r="A5" t="s">
        <v>83</v>
      </c>
      <c r="B5" s="4">
        <v>979</v>
      </c>
      <c r="C5" s="4">
        <v>1920</v>
      </c>
      <c r="D5" s="4">
        <f t="shared" si="0"/>
        <v>941</v>
      </c>
      <c r="E5" s="1">
        <v>0.49</v>
      </c>
      <c r="F5" s="8">
        <v>1</v>
      </c>
      <c r="G5" s="6">
        <v>5</v>
      </c>
      <c r="H5" t="str">
        <f t="shared" si="1"/>
        <v>excellent</v>
      </c>
      <c r="I5" t="str">
        <f t="shared" si="2"/>
        <v>high discount</v>
      </c>
    </row>
    <row r="6" spans="1:11" x14ac:dyDescent="0.35">
      <c r="A6" t="s">
        <v>20</v>
      </c>
      <c r="B6" s="4">
        <v>332</v>
      </c>
      <c r="C6" s="4">
        <v>684</v>
      </c>
      <c r="D6" s="4">
        <f t="shared" si="0"/>
        <v>352</v>
      </c>
      <c r="E6" s="1">
        <v>0.51</v>
      </c>
      <c r="F6" s="8">
        <v>2</v>
      </c>
      <c r="G6" s="6">
        <v>5</v>
      </c>
      <c r="H6" t="str">
        <f t="shared" si="1"/>
        <v>excellent</v>
      </c>
      <c r="I6" t="str">
        <f t="shared" si="2"/>
        <v>high discount</v>
      </c>
    </row>
    <row r="7" spans="1:11" x14ac:dyDescent="0.35">
      <c r="A7" t="s">
        <v>41</v>
      </c>
      <c r="B7" s="4">
        <v>171</v>
      </c>
      <c r="C7" s="4">
        <v>360</v>
      </c>
      <c r="D7" s="4">
        <f t="shared" si="0"/>
        <v>189</v>
      </c>
      <c r="E7" s="1">
        <v>0.53</v>
      </c>
      <c r="F7" s="8">
        <v>2</v>
      </c>
      <c r="G7" s="6">
        <v>5</v>
      </c>
      <c r="H7" t="str">
        <f t="shared" si="1"/>
        <v>excellent</v>
      </c>
      <c r="I7" t="str">
        <f t="shared" si="2"/>
        <v>high discount</v>
      </c>
    </row>
    <row r="8" spans="1:11" x14ac:dyDescent="0.35">
      <c r="A8" t="s">
        <v>21</v>
      </c>
      <c r="B8" s="4">
        <v>195</v>
      </c>
      <c r="C8" s="4">
        <v>360</v>
      </c>
      <c r="D8" s="4">
        <f t="shared" si="0"/>
        <v>165</v>
      </c>
      <c r="E8" s="1">
        <v>0.46</v>
      </c>
      <c r="F8" s="8">
        <v>2</v>
      </c>
      <c r="G8" s="6">
        <v>5</v>
      </c>
      <c r="H8" t="str">
        <f t="shared" si="1"/>
        <v>excellent</v>
      </c>
      <c r="I8" t="str">
        <f t="shared" si="2"/>
        <v>high discount</v>
      </c>
    </row>
    <row r="9" spans="1:11" x14ac:dyDescent="0.35">
      <c r="A9" t="s">
        <v>13</v>
      </c>
      <c r="B9" s="4">
        <v>1274</v>
      </c>
      <c r="C9" s="4">
        <v>2800</v>
      </c>
      <c r="D9" s="4">
        <f t="shared" si="0"/>
        <v>1526</v>
      </c>
      <c r="E9" s="1">
        <v>0.55000000000000004</v>
      </c>
      <c r="F9" s="8">
        <v>5</v>
      </c>
      <c r="G9" s="6">
        <v>4.8</v>
      </c>
      <c r="H9" t="str">
        <f t="shared" si="1"/>
        <v>excellent</v>
      </c>
      <c r="I9" t="str">
        <f t="shared" si="2"/>
        <v>high discount</v>
      </c>
    </row>
    <row r="10" spans="1:11" x14ac:dyDescent="0.35">
      <c r="A10" t="s">
        <v>9</v>
      </c>
      <c r="B10" s="4">
        <v>1740</v>
      </c>
      <c r="C10" s="4">
        <v>2356</v>
      </c>
      <c r="D10" s="4">
        <f t="shared" si="0"/>
        <v>616</v>
      </c>
      <c r="E10" s="1">
        <v>0.26</v>
      </c>
      <c r="F10" s="8">
        <v>5</v>
      </c>
      <c r="G10" s="6">
        <v>4.8</v>
      </c>
      <c r="H10" t="str">
        <f t="shared" si="1"/>
        <v>excellent</v>
      </c>
      <c r="I10" t="str">
        <f t="shared" si="2"/>
        <v>medium discount</v>
      </c>
    </row>
    <row r="11" spans="1:11" x14ac:dyDescent="0.35">
      <c r="A11" t="s">
        <v>17</v>
      </c>
      <c r="B11" s="4">
        <v>552</v>
      </c>
      <c r="C11" s="4">
        <v>1035</v>
      </c>
      <c r="D11" s="4">
        <f t="shared" si="0"/>
        <v>483</v>
      </c>
      <c r="E11" s="1">
        <v>0.47</v>
      </c>
      <c r="F11" s="8">
        <v>12</v>
      </c>
      <c r="G11" s="6">
        <v>4.8</v>
      </c>
      <c r="H11" t="str">
        <f t="shared" si="1"/>
        <v>excellent</v>
      </c>
      <c r="I11" t="str">
        <f t="shared" si="2"/>
        <v>high discount</v>
      </c>
    </row>
    <row r="12" spans="1:11" x14ac:dyDescent="0.35">
      <c r="A12" t="s">
        <v>8</v>
      </c>
      <c r="B12" s="4">
        <v>1580</v>
      </c>
      <c r="C12" s="4">
        <v>2499</v>
      </c>
      <c r="D12" s="4">
        <f t="shared" si="0"/>
        <v>919</v>
      </c>
      <c r="E12" s="1">
        <v>0.37</v>
      </c>
      <c r="F12" s="8">
        <v>7</v>
      </c>
      <c r="G12" s="6">
        <v>4.7</v>
      </c>
      <c r="H12" t="str">
        <f t="shared" si="1"/>
        <v>excellent</v>
      </c>
      <c r="I12" t="str">
        <f t="shared" si="2"/>
        <v>medium discount</v>
      </c>
    </row>
    <row r="13" spans="1:11" x14ac:dyDescent="0.35">
      <c r="A13" t="s">
        <v>38</v>
      </c>
      <c r="B13" s="4">
        <v>1940</v>
      </c>
      <c r="C13" s="4">
        <v>2650</v>
      </c>
      <c r="D13" s="4">
        <f t="shared" si="0"/>
        <v>710</v>
      </c>
      <c r="E13" s="1">
        <v>0.27</v>
      </c>
      <c r="F13" s="8">
        <v>20</v>
      </c>
      <c r="G13" s="6">
        <v>4.7</v>
      </c>
      <c r="H13" t="str">
        <f t="shared" si="1"/>
        <v>excellent</v>
      </c>
      <c r="I13" t="str">
        <f t="shared" si="2"/>
        <v>medium discount</v>
      </c>
    </row>
    <row r="14" spans="1:11" x14ac:dyDescent="0.35">
      <c r="A14" t="s">
        <v>16</v>
      </c>
      <c r="B14" s="4">
        <v>990</v>
      </c>
      <c r="C14" s="4">
        <v>1500</v>
      </c>
      <c r="D14" s="4">
        <f t="shared" si="0"/>
        <v>510</v>
      </c>
      <c r="E14" s="1">
        <v>0.34</v>
      </c>
      <c r="F14" s="8">
        <v>39</v>
      </c>
      <c r="G14" s="6">
        <v>4.7</v>
      </c>
      <c r="H14" t="str">
        <f t="shared" si="1"/>
        <v>excellent</v>
      </c>
      <c r="I14" t="str">
        <f t="shared" si="2"/>
        <v>medium discount</v>
      </c>
    </row>
    <row r="15" spans="1:11" x14ac:dyDescent="0.35">
      <c r="A15" t="s">
        <v>36</v>
      </c>
      <c r="B15" s="4">
        <v>980</v>
      </c>
      <c r="C15" s="4">
        <v>1490</v>
      </c>
      <c r="D15" s="4">
        <f t="shared" si="0"/>
        <v>510</v>
      </c>
      <c r="E15" s="1">
        <v>0.34</v>
      </c>
      <c r="F15" s="8">
        <v>12</v>
      </c>
      <c r="G15" s="6">
        <v>4.7</v>
      </c>
      <c r="H15" t="str">
        <f t="shared" si="1"/>
        <v>excellent</v>
      </c>
      <c r="I15" t="str">
        <f t="shared" si="2"/>
        <v>medium discount</v>
      </c>
    </row>
    <row r="16" spans="1:11" x14ac:dyDescent="0.35">
      <c r="A16" t="s">
        <v>24</v>
      </c>
      <c r="B16" s="4">
        <v>998</v>
      </c>
      <c r="C16" s="4">
        <v>1966</v>
      </c>
      <c r="D16" s="4">
        <f t="shared" si="0"/>
        <v>968</v>
      </c>
      <c r="E16" s="1">
        <v>0.49</v>
      </c>
      <c r="F16" s="8">
        <v>44</v>
      </c>
      <c r="G16" s="6">
        <v>4.5999999999999996</v>
      </c>
      <c r="H16" t="str">
        <f t="shared" si="1"/>
        <v>excellent</v>
      </c>
      <c r="I16" t="str">
        <f t="shared" si="2"/>
        <v>high discount</v>
      </c>
    </row>
    <row r="17" spans="1:9" x14ac:dyDescent="0.35">
      <c r="A17" t="s">
        <v>7</v>
      </c>
      <c r="B17" s="4">
        <v>2199</v>
      </c>
      <c r="C17" s="4">
        <v>2923</v>
      </c>
      <c r="D17" s="4">
        <f t="shared" si="0"/>
        <v>724</v>
      </c>
      <c r="E17" s="1">
        <v>0.25</v>
      </c>
      <c r="F17" s="8">
        <v>24</v>
      </c>
      <c r="G17" s="6">
        <v>4.5999999999999996</v>
      </c>
      <c r="H17" t="str">
        <f t="shared" si="1"/>
        <v>excellent</v>
      </c>
      <c r="I17" t="str">
        <f t="shared" si="2"/>
        <v>medium discount</v>
      </c>
    </row>
    <row r="18" spans="1:9" x14ac:dyDescent="0.35">
      <c r="A18" t="s">
        <v>11</v>
      </c>
      <c r="B18" s="4">
        <v>2319</v>
      </c>
      <c r="C18" s="4">
        <v>3032</v>
      </c>
      <c r="D18" s="4">
        <f t="shared" si="0"/>
        <v>713</v>
      </c>
      <c r="E18" s="1">
        <v>0.24</v>
      </c>
      <c r="F18" s="8">
        <v>55</v>
      </c>
      <c r="G18" s="6">
        <v>4.5999999999999996</v>
      </c>
      <c r="H18" t="str">
        <f t="shared" si="1"/>
        <v>excellent</v>
      </c>
      <c r="I18" t="str">
        <f t="shared" si="2"/>
        <v>medium discount</v>
      </c>
    </row>
    <row r="19" spans="1:9" x14ac:dyDescent="0.35">
      <c r="A19" t="s">
        <v>23</v>
      </c>
      <c r="B19" s="4">
        <v>2999</v>
      </c>
      <c r="C19" s="4">
        <v>3699</v>
      </c>
      <c r="D19" s="4">
        <f t="shared" si="0"/>
        <v>700</v>
      </c>
      <c r="E19" s="1">
        <v>0.19</v>
      </c>
      <c r="F19" s="8">
        <v>5</v>
      </c>
      <c r="G19" s="6">
        <v>4.5999999999999996</v>
      </c>
      <c r="H19" t="str">
        <f t="shared" si="1"/>
        <v>excellent</v>
      </c>
      <c r="I19" t="str">
        <f t="shared" si="2"/>
        <v>lowdiscount</v>
      </c>
    </row>
    <row r="20" spans="1:9" x14ac:dyDescent="0.35">
      <c r="A20" t="s">
        <v>30</v>
      </c>
      <c r="B20" s="4">
        <v>420</v>
      </c>
      <c r="C20" s="4">
        <v>647</v>
      </c>
      <c r="D20" s="4">
        <f t="shared" si="0"/>
        <v>227</v>
      </c>
      <c r="E20" s="1">
        <v>0.35</v>
      </c>
      <c r="F20" s="8">
        <v>49</v>
      </c>
      <c r="G20" s="6">
        <v>4.5999999999999996</v>
      </c>
      <c r="H20" t="str">
        <f t="shared" si="1"/>
        <v>excellent</v>
      </c>
      <c r="I20" t="str">
        <f t="shared" si="2"/>
        <v>medium discount</v>
      </c>
    </row>
    <row r="21" spans="1:9" x14ac:dyDescent="0.35">
      <c r="A21" t="s">
        <v>43</v>
      </c>
      <c r="B21" s="4">
        <v>1800</v>
      </c>
      <c r="C21" s="4">
        <v>2700</v>
      </c>
      <c r="D21" s="4">
        <f t="shared" si="0"/>
        <v>900</v>
      </c>
      <c r="E21" s="1">
        <v>0.38</v>
      </c>
      <c r="F21" s="8">
        <v>2</v>
      </c>
      <c r="G21" s="6">
        <v>4.5</v>
      </c>
      <c r="H21" t="str">
        <f t="shared" si="1"/>
        <v>average</v>
      </c>
      <c r="I21" t="str">
        <f t="shared" si="2"/>
        <v>medium discount</v>
      </c>
    </row>
    <row r="22" spans="1:9" x14ac:dyDescent="0.35">
      <c r="A22" t="s">
        <v>39</v>
      </c>
      <c r="B22" s="4">
        <v>1980</v>
      </c>
      <c r="C22" s="4">
        <v>2699</v>
      </c>
      <c r="D22" s="4">
        <f t="shared" si="0"/>
        <v>719</v>
      </c>
      <c r="E22" s="1">
        <v>0.27</v>
      </c>
      <c r="F22" s="8">
        <v>32</v>
      </c>
      <c r="G22" s="6">
        <v>4.5</v>
      </c>
      <c r="H22" t="str">
        <f t="shared" si="1"/>
        <v>average</v>
      </c>
      <c r="I22" t="str">
        <f t="shared" si="2"/>
        <v>medium discount</v>
      </c>
    </row>
    <row r="23" spans="1:9" x14ac:dyDescent="0.35">
      <c r="A23" t="s">
        <v>5</v>
      </c>
      <c r="B23" s="4">
        <v>950</v>
      </c>
      <c r="C23" s="4">
        <v>1525</v>
      </c>
      <c r="D23" s="4">
        <f t="shared" si="0"/>
        <v>575</v>
      </c>
      <c r="E23" s="1">
        <v>0.38</v>
      </c>
      <c r="F23" s="8">
        <v>2</v>
      </c>
      <c r="G23" s="6">
        <v>4.5</v>
      </c>
      <c r="H23" t="str">
        <f>IF(G23&lt;3,"poor",IF(G23&lt;=4.4,"average",IF(G23&gt;=4.5,"excellent","")))</f>
        <v>excellent</v>
      </c>
      <c r="I23" t="str">
        <f t="shared" si="2"/>
        <v>medium discount</v>
      </c>
    </row>
    <row r="24" spans="1:9" x14ac:dyDescent="0.35">
      <c r="A24" t="s">
        <v>18</v>
      </c>
      <c r="B24" s="4">
        <v>501</v>
      </c>
      <c r="C24" s="4">
        <v>860</v>
      </c>
      <c r="D24" s="4">
        <f t="shared" si="0"/>
        <v>359</v>
      </c>
      <c r="E24" s="1">
        <v>0.42</v>
      </c>
      <c r="F24" s="8">
        <v>6</v>
      </c>
      <c r="G24" s="6">
        <v>4.5</v>
      </c>
      <c r="H24" t="str">
        <f t="shared" ref="H24:H55" si="3">IF(G24&lt;3,"poor",IF(G24&lt;=4.5,"average",IF(G24&gt;=4.5,"excellent","")))</f>
        <v>average</v>
      </c>
      <c r="I24" t="str">
        <f t="shared" si="2"/>
        <v>high discount</v>
      </c>
    </row>
    <row r="25" spans="1:9" x14ac:dyDescent="0.35">
      <c r="A25" t="s">
        <v>28</v>
      </c>
      <c r="B25" s="4">
        <v>1650</v>
      </c>
      <c r="C25" s="4">
        <v>2150</v>
      </c>
      <c r="D25" s="4">
        <f t="shared" si="0"/>
        <v>500</v>
      </c>
      <c r="E25" s="1">
        <v>0.23</v>
      </c>
      <c r="F25" s="8">
        <v>14</v>
      </c>
      <c r="G25" s="6">
        <v>4.4000000000000004</v>
      </c>
      <c r="H25" t="str">
        <f t="shared" si="3"/>
        <v>average</v>
      </c>
      <c r="I25" t="str">
        <f t="shared" si="2"/>
        <v>medium discount</v>
      </c>
    </row>
    <row r="26" spans="1:9" x14ac:dyDescent="0.35">
      <c r="A26" t="s">
        <v>29</v>
      </c>
      <c r="B26" s="4">
        <v>2048</v>
      </c>
      <c r="C26" s="4">
        <v>4500</v>
      </c>
      <c r="D26" s="4">
        <f t="shared" si="0"/>
        <v>2452</v>
      </c>
      <c r="E26" s="1">
        <v>0.54</v>
      </c>
      <c r="F26" s="8">
        <v>7</v>
      </c>
      <c r="G26" s="6">
        <v>4.3</v>
      </c>
      <c r="H26" t="str">
        <f t="shared" si="3"/>
        <v>average</v>
      </c>
      <c r="I26" t="str">
        <f t="shared" si="2"/>
        <v>high discount</v>
      </c>
    </row>
    <row r="27" spans="1:9" x14ac:dyDescent="0.35">
      <c r="A27" t="s">
        <v>37</v>
      </c>
      <c r="B27" s="4">
        <v>1820</v>
      </c>
      <c r="C27" s="4">
        <v>3490</v>
      </c>
      <c r="D27" s="4">
        <f t="shared" si="0"/>
        <v>1670</v>
      </c>
      <c r="E27" s="1">
        <v>0.48</v>
      </c>
      <c r="F27" s="8">
        <v>9</v>
      </c>
      <c r="G27" s="6">
        <v>4.3</v>
      </c>
      <c r="H27" t="str">
        <f t="shared" si="3"/>
        <v>average</v>
      </c>
      <c r="I27" t="str">
        <f t="shared" si="2"/>
        <v>high discount</v>
      </c>
    </row>
    <row r="28" spans="1:9" x14ac:dyDescent="0.35">
      <c r="A28" t="s">
        <v>42</v>
      </c>
      <c r="B28" s="4">
        <v>389</v>
      </c>
      <c r="C28" s="4">
        <v>656</v>
      </c>
      <c r="D28" s="4">
        <f t="shared" si="0"/>
        <v>267</v>
      </c>
      <c r="E28" s="1">
        <v>0.41</v>
      </c>
      <c r="F28" s="8">
        <v>36</v>
      </c>
      <c r="G28" s="6">
        <v>4.3</v>
      </c>
      <c r="H28" t="str">
        <f t="shared" si="3"/>
        <v>average</v>
      </c>
      <c r="I28" t="str">
        <f t="shared" si="2"/>
        <v>high discount</v>
      </c>
    </row>
    <row r="29" spans="1:9" x14ac:dyDescent="0.35">
      <c r="A29" t="s">
        <v>35</v>
      </c>
      <c r="B29" s="4">
        <v>185</v>
      </c>
      <c r="C29" s="4">
        <v>382</v>
      </c>
      <c r="D29" s="4">
        <f t="shared" si="0"/>
        <v>197</v>
      </c>
      <c r="E29" s="1">
        <v>0.52</v>
      </c>
      <c r="F29" s="8">
        <v>9</v>
      </c>
      <c r="G29" s="6">
        <v>4.3</v>
      </c>
      <c r="H29" t="str">
        <f t="shared" si="3"/>
        <v>average</v>
      </c>
      <c r="I29" t="str">
        <f t="shared" si="2"/>
        <v>high discount</v>
      </c>
    </row>
    <row r="30" spans="1:9" x14ac:dyDescent="0.35">
      <c r="A30" t="s">
        <v>19</v>
      </c>
      <c r="B30" s="4">
        <v>1680</v>
      </c>
      <c r="C30" s="4">
        <v>2499</v>
      </c>
      <c r="D30" s="4">
        <f t="shared" si="0"/>
        <v>819</v>
      </c>
      <c r="E30" s="1">
        <v>0.33</v>
      </c>
      <c r="F30" s="8">
        <v>9</v>
      </c>
      <c r="G30" s="6">
        <v>4.2</v>
      </c>
      <c r="H30" t="str">
        <f t="shared" si="3"/>
        <v>average</v>
      </c>
      <c r="I30" t="str">
        <f t="shared" si="2"/>
        <v>medium discount</v>
      </c>
    </row>
    <row r="31" spans="1:9" x14ac:dyDescent="0.35">
      <c r="A31" t="s">
        <v>33</v>
      </c>
      <c r="B31" s="4">
        <v>1758</v>
      </c>
      <c r="C31" s="4">
        <v>2499</v>
      </c>
      <c r="D31" s="4">
        <f t="shared" si="0"/>
        <v>741</v>
      </c>
      <c r="E31" s="1">
        <v>0.3</v>
      </c>
      <c r="F31" s="8">
        <v>20</v>
      </c>
      <c r="G31" s="6">
        <v>4.0999999999999996</v>
      </c>
      <c r="H31" t="str">
        <f t="shared" si="3"/>
        <v>average</v>
      </c>
      <c r="I31" t="str">
        <f t="shared" si="2"/>
        <v>medium discount</v>
      </c>
    </row>
    <row r="32" spans="1:9" x14ac:dyDescent="0.35">
      <c r="A32" t="s">
        <v>6</v>
      </c>
      <c r="B32" s="4">
        <v>527</v>
      </c>
      <c r="C32" s="4">
        <v>999</v>
      </c>
      <c r="D32" s="4">
        <f t="shared" si="0"/>
        <v>472</v>
      </c>
      <c r="E32" s="1">
        <v>0.47</v>
      </c>
      <c r="F32" s="8">
        <v>14</v>
      </c>
      <c r="G32" s="6">
        <v>4.0999999999999996</v>
      </c>
      <c r="H32" t="str">
        <f t="shared" si="3"/>
        <v>average</v>
      </c>
      <c r="I32" t="str">
        <f t="shared" si="2"/>
        <v>high discount</v>
      </c>
    </row>
    <row r="33" spans="1:9" x14ac:dyDescent="0.35">
      <c r="A33" t="s">
        <v>15</v>
      </c>
      <c r="B33" s="4">
        <v>799</v>
      </c>
      <c r="C33" s="4">
        <v>999</v>
      </c>
      <c r="D33" s="4">
        <f t="shared" si="0"/>
        <v>200</v>
      </c>
      <c r="E33" s="1">
        <v>0.2</v>
      </c>
      <c r="F33" s="8">
        <v>12</v>
      </c>
      <c r="G33" s="6">
        <v>4.0999999999999996</v>
      </c>
      <c r="H33" t="str">
        <f t="shared" si="3"/>
        <v>average</v>
      </c>
      <c r="I33" t="str">
        <f t="shared" si="2"/>
        <v>medium discount</v>
      </c>
    </row>
    <row r="34" spans="1:9" x14ac:dyDescent="0.35">
      <c r="A34" t="s">
        <v>12</v>
      </c>
      <c r="B34" s="4">
        <v>988</v>
      </c>
      <c r="C34" s="4">
        <v>1580</v>
      </c>
      <c r="D34" s="4">
        <f t="shared" ref="D34:D65" si="4">C34-B34</f>
        <v>592</v>
      </c>
      <c r="E34" s="1">
        <v>0.37</v>
      </c>
      <c r="F34" s="8">
        <v>2</v>
      </c>
      <c r="G34" s="6">
        <v>4</v>
      </c>
      <c r="H34" t="str">
        <f t="shared" si="3"/>
        <v>average</v>
      </c>
      <c r="I34" t="str">
        <f t="shared" si="2"/>
        <v>medium discount</v>
      </c>
    </row>
    <row r="35" spans="1:9" x14ac:dyDescent="0.35">
      <c r="A35" t="s">
        <v>27</v>
      </c>
      <c r="B35" s="4">
        <v>880</v>
      </c>
      <c r="C35" s="4">
        <v>1350</v>
      </c>
      <c r="D35" s="4">
        <f t="shared" si="4"/>
        <v>470</v>
      </c>
      <c r="E35" s="1">
        <v>0.35</v>
      </c>
      <c r="F35" s="8">
        <v>6</v>
      </c>
      <c r="G35" s="6">
        <v>4</v>
      </c>
      <c r="H35" t="str">
        <f t="shared" si="3"/>
        <v>average</v>
      </c>
      <c r="I35" t="str">
        <f t="shared" si="2"/>
        <v>medium discount</v>
      </c>
    </row>
    <row r="36" spans="1:9" x14ac:dyDescent="0.35">
      <c r="A36" t="s">
        <v>86</v>
      </c>
      <c r="B36" s="4">
        <v>330</v>
      </c>
      <c r="C36" s="4">
        <v>647</v>
      </c>
      <c r="D36" s="4">
        <f t="shared" si="4"/>
        <v>317</v>
      </c>
      <c r="E36" s="1">
        <v>0.49</v>
      </c>
      <c r="F36" s="8">
        <v>1</v>
      </c>
      <c r="G36" s="6">
        <v>4</v>
      </c>
      <c r="H36" t="str">
        <f t="shared" si="3"/>
        <v>average</v>
      </c>
      <c r="I36" t="str">
        <f t="shared" si="2"/>
        <v>high discount</v>
      </c>
    </row>
    <row r="37" spans="1:9" x14ac:dyDescent="0.35">
      <c r="A37" t="s">
        <v>10</v>
      </c>
      <c r="B37" s="4">
        <v>2999</v>
      </c>
      <c r="C37" s="4">
        <v>3290</v>
      </c>
      <c r="D37" s="4">
        <f t="shared" si="4"/>
        <v>291</v>
      </c>
      <c r="E37" s="1">
        <v>0.09</v>
      </c>
      <c r="F37" s="8">
        <v>15</v>
      </c>
      <c r="G37" s="6">
        <v>4</v>
      </c>
      <c r="H37" t="str">
        <f t="shared" si="3"/>
        <v>average</v>
      </c>
      <c r="I37" t="str">
        <f t="shared" si="2"/>
        <v>lowdiscount</v>
      </c>
    </row>
    <row r="38" spans="1:9" x14ac:dyDescent="0.35">
      <c r="A38" t="s">
        <v>14</v>
      </c>
      <c r="B38" s="4">
        <v>1600</v>
      </c>
      <c r="C38" s="4">
        <v>2929</v>
      </c>
      <c r="D38" s="4">
        <f t="shared" si="4"/>
        <v>1329</v>
      </c>
      <c r="E38" s="1">
        <v>0.45</v>
      </c>
      <c r="F38" s="8">
        <v>5</v>
      </c>
      <c r="G38" s="6">
        <v>3.8</v>
      </c>
      <c r="H38" t="str">
        <f t="shared" si="3"/>
        <v>average</v>
      </c>
      <c r="I38" t="str">
        <f t="shared" si="2"/>
        <v>high discount</v>
      </c>
    </row>
    <row r="39" spans="1:9" x14ac:dyDescent="0.35">
      <c r="A39" t="s">
        <v>32</v>
      </c>
      <c r="B39" s="4">
        <v>1350</v>
      </c>
      <c r="C39" s="4">
        <v>1990</v>
      </c>
      <c r="D39" s="4">
        <f t="shared" si="4"/>
        <v>640</v>
      </c>
      <c r="E39" s="1">
        <v>0.32</v>
      </c>
      <c r="F39" s="8">
        <v>13</v>
      </c>
      <c r="G39" s="6">
        <v>3.8</v>
      </c>
      <c r="H39" t="str">
        <f t="shared" si="3"/>
        <v>average</v>
      </c>
      <c r="I39" t="str">
        <f t="shared" si="2"/>
        <v>medium discount</v>
      </c>
    </row>
    <row r="40" spans="1:9" x14ac:dyDescent="0.35">
      <c r="A40" t="s">
        <v>31</v>
      </c>
      <c r="B40" s="4">
        <v>2880</v>
      </c>
      <c r="C40" s="4">
        <v>3520</v>
      </c>
      <c r="D40" s="4">
        <f t="shared" si="4"/>
        <v>640</v>
      </c>
      <c r="E40" s="1">
        <v>0.18</v>
      </c>
      <c r="F40" s="8">
        <v>12</v>
      </c>
      <c r="G40" s="6">
        <v>3.8</v>
      </c>
      <c r="H40" t="str">
        <f t="shared" si="3"/>
        <v>average</v>
      </c>
      <c r="I40" t="str">
        <f t="shared" si="2"/>
        <v>lowdiscount</v>
      </c>
    </row>
    <row r="41" spans="1:9" x14ac:dyDescent="0.35">
      <c r="A41" t="s">
        <v>25</v>
      </c>
      <c r="B41" s="4">
        <v>38</v>
      </c>
      <c r="C41" s="4">
        <v>80</v>
      </c>
      <c r="D41" s="4">
        <f t="shared" si="4"/>
        <v>42</v>
      </c>
      <c r="E41" s="1">
        <v>0.53</v>
      </c>
      <c r="F41" s="8">
        <v>13</v>
      </c>
      <c r="G41" s="6">
        <v>3.3</v>
      </c>
      <c r="H41" t="str">
        <f t="shared" si="3"/>
        <v>average</v>
      </c>
      <c r="I41" t="str">
        <f t="shared" si="2"/>
        <v>high discount</v>
      </c>
    </row>
    <row r="42" spans="1:9" x14ac:dyDescent="0.35">
      <c r="A42" t="s">
        <v>71</v>
      </c>
      <c r="B42" s="4">
        <v>3750</v>
      </c>
      <c r="C42" s="4">
        <v>6143</v>
      </c>
      <c r="D42" s="4">
        <f t="shared" si="4"/>
        <v>2393</v>
      </c>
      <c r="E42" s="1">
        <v>0.39</v>
      </c>
      <c r="F42" s="8">
        <v>5</v>
      </c>
      <c r="G42" s="6">
        <v>3</v>
      </c>
      <c r="H42" t="str">
        <f t="shared" si="3"/>
        <v>average</v>
      </c>
      <c r="I42" t="str">
        <f t="shared" si="2"/>
        <v>medium discount</v>
      </c>
    </row>
    <row r="43" spans="1:9" x14ac:dyDescent="0.35">
      <c r="A43" t="s">
        <v>82</v>
      </c>
      <c r="B43" s="4">
        <v>1189</v>
      </c>
      <c r="C43" s="4">
        <v>2199</v>
      </c>
      <c r="D43" s="4">
        <f t="shared" si="4"/>
        <v>1010</v>
      </c>
      <c r="E43" s="1">
        <v>0.46</v>
      </c>
      <c r="F43" s="8">
        <v>1</v>
      </c>
      <c r="G43" s="6">
        <v>3</v>
      </c>
      <c r="H43" t="str">
        <f t="shared" si="3"/>
        <v>average</v>
      </c>
      <c r="I43" t="str">
        <f t="shared" si="2"/>
        <v>high discount</v>
      </c>
    </row>
    <row r="44" spans="1:9" x14ac:dyDescent="0.35">
      <c r="A44" t="s">
        <v>73</v>
      </c>
      <c r="B44" s="4">
        <v>2300</v>
      </c>
      <c r="C44" s="4">
        <v>3240</v>
      </c>
      <c r="D44" s="4">
        <f t="shared" si="4"/>
        <v>940</v>
      </c>
      <c r="E44" s="1">
        <v>0.28999999999999998</v>
      </c>
      <c r="F44" s="8">
        <v>5</v>
      </c>
      <c r="G44" s="6">
        <v>3</v>
      </c>
      <c r="H44" t="str">
        <f t="shared" si="3"/>
        <v>average</v>
      </c>
      <c r="I44" t="str">
        <f t="shared" si="2"/>
        <v>medium discount</v>
      </c>
    </row>
    <row r="45" spans="1:9" x14ac:dyDescent="0.35">
      <c r="A45" t="s">
        <v>64</v>
      </c>
      <c r="B45" s="4">
        <v>458</v>
      </c>
      <c r="C45" s="4">
        <v>986</v>
      </c>
      <c r="D45" s="4">
        <f t="shared" si="4"/>
        <v>528</v>
      </c>
      <c r="E45" s="1">
        <v>0.54</v>
      </c>
      <c r="F45" s="8">
        <v>10</v>
      </c>
      <c r="G45" s="6">
        <v>3</v>
      </c>
      <c r="H45" t="str">
        <f t="shared" si="3"/>
        <v>average</v>
      </c>
      <c r="I45" t="str">
        <f t="shared" si="2"/>
        <v>high discount</v>
      </c>
    </row>
    <row r="46" spans="1:9" x14ac:dyDescent="0.35">
      <c r="A46" t="s">
        <v>75</v>
      </c>
      <c r="B46" s="4">
        <v>509</v>
      </c>
      <c r="C46" s="4">
        <v>899</v>
      </c>
      <c r="D46" s="4">
        <f t="shared" si="4"/>
        <v>390</v>
      </c>
      <c r="E46" s="1">
        <v>0.43</v>
      </c>
      <c r="F46" s="8">
        <v>5</v>
      </c>
      <c r="G46" s="6">
        <v>3</v>
      </c>
      <c r="H46" t="str">
        <f t="shared" si="3"/>
        <v>average</v>
      </c>
      <c r="I46" t="str">
        <f t="shared" si="2"/>
        <v>high discount</v>
      </c>
    </row>
    <row r="47" spans="1:9" x14ac:dyDescent="0.35">
      <c r="A47" t="s">
        <v>68</v>
      </c>
      <c r="B47" s="4">
        <v>1220</v>
      </c>
      <c r="C47" s="4">
        <v>1555</v>
      </c>
      <c r="D47" s="4">
        <f t="shared" si="4"/>
        <v>335</v>
      </c>
      <c r="E47" s="1">
        <v>0.22</v>
      </c>
      <c r="F47" s="8">
        <v>16</v>
      </c>
      <c r="G47" s="6">
        <v>2.9</v>
      </c>
      <c r="H47" t="str">
        <f t="shared" si="3"/>
        <v>poor</v>
      </c>
      <c r="I47" t="str">
        <f t="shared" si="2"/>
        <v>medium discount</v>
      </c>
    </row>
    <row r="48" spans="1:9" x14ac:dyDescent="0.35">
      <c r="A48" t="s">
        <v>66</v>
      </c>
      <c r="B48" s="4">
        <v>445</v>
      </c>
      <c r="C48" s="4">
        <v>873</v>
      </c>
      <c r="D48" s="4">
        <f t="shared" si="4"/>
        <v>428</v>
      </c>
      <c r="E48" s="1">
        <v>0.49</v>
      </c>
      <c r="F48" s="8">
        <v>69</v>
      </c>
      <c r="G48" s="6">
        <v>2.8</v>
      </c>
      <c r="H48" t="str">
        <f t="shared" si="3"/>
        <v>poor</v>
      </c>
      <c r="I48" t="str">
        <f t="shared" si="2"/>
        <v>high discount</v>
      </c>
    </row>
    <row r="49" spans="1:9" x14ac:dyDescent="0.35">
      <c r="A49" t="s">
        <v>67</v>
      </c>
      <c r="B49" s="4">
        <v>325</v>
      </c>
      <c r="C49" s="4">
        <v>680</v>
      </c>
      <c r="D49" s="4">
        <f t="shared" si="4"/>
        <v>355</v>
      </c>
      <c r="E49" s="1">
        <v>0.52</v>
      </c>
      <c r="F49" s="8">
        <v>15</v>
      </c>
      <c r="G49" s="6">
        <v>2.7</v>
      </c>
      <c r="H49" t="str">
        <f t="shared" si="3"/>
        <v>poor</v>
      </c>
      <c r="I49" t="str">
        <f t="shared" si="2"/>
        <v>high discount</v>
      </c>
    </row>
    <row r="50" spans="1:9" x14ac:dyDescent="0.35">
      <c r="A50" t="s">
        <v>72</v>
      </c>
      <c r="B50" s="4">
        <v>382</v>
      </c>
      <c r="C50" s="4">
        <v>700</v>
      </c>
      <c r="D50" s="4">
        <f t="shared" si="4"/>
        <v>318</v>
      </c>
      <c r="E50" s="1">
        <v>0.45</v>
      </c>
      <c r="F50" s="8">
        <v>17</v>
      </c>
      <c r="G50" s="6">
        <v>2.6</v>
      </c>
      <c r="H50" t="str">
        <f t="shared" si="3"/>
        <v>poor</v>
      </c>
      <c r="I50" t="str">
        <f t="shared" si="2"/>
        <v>high discount</v>
      </c>
    </row>
    <row r="51" spans="1:9" x14ac:dyDescent="0.35">
      <c r="A51" t="s">
        <v>63</v>
      </c>
      <c r="B51" s="4">
        <v>2170</v>
      </c>
      <c r="C51" s="4">
        <v>2500</v>
      </c>
      <c r="D51" s="4">
        <f t="shared" si="4"/>
        <v>330</v>
      </c>
      <c r="E51" s="1">
        <v>0.13</v>
      </c>
      <c r="F51" s="8">
        <v>6</v>
      </c>
      <c r="G51" s="6">
        <v>2.5</v>
      </c>
      <c r="H51" t="str">
        <f t="shared" si="3"/>
        <v>poor</v>
      </c>
      <c r="I51" t="str">
        <f t="shared" si="2"/>
        <v>lowdiscount</v>
      </c>
    </row>
    <row r="52" spans="1:9" x14ac:dyDescent="0.35">
      <c r="A52" t="s">
        <v>70</v>
      </c>
      <c r="B52" s="4">
        <v>1000</v>
      </c>
      <c r="C52" s="4">
        <v>2000</v>
      </c>
      <c r="D52" s="4">
        <f t="shared" si="4"/>
        <v>1000</v>
      </c>
      <c r="E52" s="1">
        <v>0.5</v>
      </c>
      <c r="F52" s="8">
        <v>7</v>
      </c>
      <c r="G52" s="6">
        <v>2.2999999999999998</v>
      </c>
      <c r="H52" t="str">
        <f t="shared" si="3"/>
        <v>poor</v>
      </c>
      <c r="I52" t="str">
        <f t="shared" si="2"/>
        <v>high discount</v>
      </c>
    </row>
    <row r="53" spans="1:9" x14ac:dyDescent="0.35">
      <c r="A53" t="s">
        <v>74</v>
      </c>
      <c r="B53" s="4">
        <v>345</v>
      </c>
      <c r="C53" s="4">
        <v>602</v>
      </c>
      <c r="D53" s="4">
        <f t="shared" si="4"/>
        <v>257</v>
      </c>
      <c r="E53" s="1">
        <v>0.43</v>
      </c>
      <c r="F53" s="8">
        <v>6</v>
      </c>
      <c r="G53" s="6">
        <v>2.2999999999999998</v>
      </c>
      <c r="H53" t="str">
        <f t="shared" si="3"/>
        <v>poor</v>
      </c>
      <c r="I53" t="str">
        <f t="shared" si="2"/>
        <v>high discount</v>
      </c>
    </row>
    <row r="54" spans="1:9" x14ac:dyDescent="0.35">
      <c r="A54" t="s">
        <v>76</v>
      </c>
      <c r="B54" s="4">
        <v>968</v>
      </c>
      <c r="C54" s="4">
        <v>1814</v>
      </c>
      <c r="D54" s="4">
        <f t="shared" si="4"/>
        <v>846</v>
      </c>
      <c r="E54" s="1">
        <v>0.47</v>
      </c>
      <c r="F54" s="8">
        <v>6</v>
      </c>
      <c r="G54" s="6">
        <v>2.2000000000000002</v>
      </c>
      <c r="H54" t="str">
        <f t="shared" si="3"/>
        <v>poor</v>
      </c>
      <c r="I54" t="str">
        <f t="shared" si="2"/>
        <v>high discount</v>
      </c>
    </row>
    <row r="55" spans="1:9" x14ac:dyDescent="0.35">
      <c r="A55" t="s">
        <v>69</v>
      </c>
      <c r="B55" s="4">
        <v>990</v>
      </c>
      <c r="C55" s="4">
        <v>1814</v>
      </c>
      <c r="D55" s="4">
        <f t="shared" si="4"/>
        <v>824</v>
      </c>
      <c r="E55" s="1">
        <v>0.45</v>
      </c>
      <c r="F55" s="8">
        <v>6</v>
      </c>
      <c r="G55" s="6">
        <v>2.2000000000000002</v>
      </c>
      <c r="H55" t="str">
        <f t="shared" si="3"/>
        <v>poor</v>
      </c>
      <c r="I55" t="str">
        <f t="shared" si="2"/>
        <v>high discount</v>
      </c>
    </row>
    <row r="56" spans="1:9" x14ac:dyDescent="0.35">
      <c r="A56" t="s">
        <v>65</v>
      </c>
      <c r="B56" s="4">
        <v>2115</v>
      </c>
      <c r="C56" s="4">
        <v>4700</v>
      </c>
      <c r="D56" s="4">
        <f t="shared" si="4"/>
        <v>2585</v>
      </c>
      <c r="E56" s="1">
        <v>0.55000000000000004</v>
      </c>
      <c r="F56" s="8">
        <v>13</v>
      </c>
      <c r="G56" s="6">
        <v>2.1</v>
      </c>
      <c r="H56" t="str">
        <f t="shared" ref="H56:H87" si="5">IF(G56&lt;3,"poor",IF(G56&lt;=4.5,"average",IF(G56&gt;=4.5,"excellent","")))</f>
        <v>poor</v>
      </c>
      <c r="I56" t="str">
        <f t="shared" si="2"/>
        <v>high discount</v>
      </c>
    </row>
    <row r="57" spans="1:9" x14ac:dyDescent="0.35">
      <c r="A57" t="s">
        <v>77</v>
      </c>
      <c r="B57" s="4">
        <v>1570</v>
      </c>
      <c r="C57" s="4">
        <v>2988</v>
      </c>
      <c r="D57" s="4">
        <f t="shared" si="4"/>
        <v>1418</v>
      </c>
      <c r="E57" s="1">
        <v>0.47</v>
      </c>
      <c r="F57" s="8">
        <v>7</v>
      </c>
      <c r="G57" s="6">
        <v>2.1</v>
      </c>
      <c r="H57" t="str">
        <f t="shared" si="5"/>
        <v>poor</v>
      </c>
      <c r="I57" t="str">
        <f t="shared" si="2"/>
        <v>high discount</v>
      </c>
    </row>
    <row r="58" spans="1:9" x14ac:dyDescent="0.35">
      <c r="A58" t="s">
        <v>112</v>
      </c>
      <c r="B58" s="4">
        <v>450</v>
      </c>
      <c r="C58" s="4">
        <v>900</v>
      </c>
      <c r="D58" s="4">
        <f t="shared" si="4"/>
        <v>450</v>
      </c>
      <c r="E58" s="1">
        <v>0.5</v>
      </c>
      <c r="F58" s="8">
        <v>1</v>
      </c>
      <c r="G58" s="6">
        <v>2</v>
      </c>
      <c r="H58" t="str">
        <f t="shared" si="5"/>
        <v>poor</v>
      </c>
      <c r="I58" t="str">
        <f t="shared" si="2"/>
        <v>high discount</v>
      </c>
    </row>
    <row r="59" spans="1:9" x14ac:dyDescent="0.35">
      <c r="A59" t="s">
        <v>34</v>
      </c>
      <c r="B59" s="4">
        <v>2200</v>
      </c>
      <c r="C59" s="4">
        <v>4080</v>
      </c>
      <c r="D59" s="4">
        <f t="shared" si="4"/>
        <v>1880</v>
      </c>
      <c r="E59" s="1">
        <v>0.46</v>
      </c>
      <c r="H59" t="str">
        <f t="shared" si="5"/>
        <v>poor</v>
      </c>
      <c r="I59" t="str">
        <f t="shared" si="2"/>
        <v>high discount</v>
      </c>
    </row>
    <row r="60" spans="1:9" x14ac:dyDescent="0.35">
      <c r="A60" t="s">
        <v>44</v>
      </c>
      <c r="B60" s="4">
        <v>2750</v>
      </c>
      <c r="C60" s="4">
        <v>4471</v>
      </c>
      <c r="D60" s="4">
        <f t="shared" si="4"/>
        <v>1721</v>
      </c>
      <c r="E60" s="1">
        <v>0.38</v>
      </c>
      <c r="H60" t="str">
        <f t="shared" si="5"/>
        <v>poor</v>
      </c>
      <c r="I60" t="str">
        <f t="shared" si="2"/>
        <v>medium discount</v>
      </c>
    </row>
    <row r="61" spans="1:9" x14ac:dyDescent="0.35">
      <c r="A61" t="s">
        <v>26</v>
      </c>
      <c r="B61" s="4">
        <v>1860</v>
      </c>
      <c r="C61" s="4">
        <v>3220</v>
      </c>
      <c r="D61" s="4">
        <f t="shared" si="4"/>
        <v>1360</v>
      </c>
      <c r="E61" s="1">
        <v>0.42</v>
      </c>
      <c r="H61" t="str">
        <f t="shared" si="5"/>
        <v>poor</v>
      </c>
      <c r="I61" t="str">
        <f t="shared" si="2"/>
        <v>high discount</v>
      </c>
    </row>
    <row r="62" spans="1:9" x14ac:dyDescent="0.35">
      <c r="A62" t="s">
        <v>93</v>
      </c>
      <c r="B62" s="4">
        <v>1300</v>
      </c>
      <c r="C62" s="4">
        <v>2500</v>
      </c>
      <c r="D62" s="4">
        <f t="shared" si="4"/>
        <v>1200</v>
      </c>
      <c r="E62" s="1">
        <v>0.48</v>
      </c>
      <c r="H62" t="str">
        <f t="shared" si="5"/>
        <v>poor</v>
      </c>
      <c r="I62" t="str">
        <f t="shared" si="2"/>
        <v>high discount</v>
      </c>
    </row>
    <row r="63" spans="1:9" x14ac:dyDescent="0.35">
      <c r="A63" t="s">
        <v>96</v>
      </c>
      <c r="B63" s="4">
        <v>1200</v>
      </c>
      <c r="C63" s="4">
        <v>2400</v>
      </c>
      <c r="D63" s="4">
        <f t="shared" si="4"/>
        <v>1200</v>
      </c>
      <c r="E63" s="1">
        <v>0.5</v>
      </c>
      <c r="H63" t="str">
        <f t="shared" si="5"/>
        <v>poor</v>
      </c>
      <c r="I63" t="str">
        <f t="shared" si="2"/>
        <v>high discount</v>
      </c>
    </row>
    <row r="64" spans="1:9" x14ac:dyDescent="0.35">
      <c r="A64" t="s">
        <v>62</v>
      </c>
      <c r="B64" s="4">
        <v>2799</v>
      </c>
      <c r="C64" s="4">
        <v>3810</v>
      </c>
      <c r="D64" s="4">
        <f t="shared" si="4"/>
        <v>1011</v>
      </c>
      <c r="E64" s="1">
        <v>0.27</v>
      </c>
      <c r="H64" t="str">
        <f t="shared" si="5"/>
        <v>poor</v>
      </c>
      <c r="I64" t="str">
        <f t="shared" si="2"/>
        <v>medium discount</v>
      </c>
    </row>
    <row r="65" spans="1:9" x14ac:dyDescent="0.35">
      <c r="A65" t="s">
        <v>49</v>
      </c>
      <c r="B65" s="4">
        <v>999</v>
      </c>
      <c r="C65" s="4">
        <v>2000</v>
      </c>
      <c r="D65" s="4">
        <f t="shared" si="4"/>
        <v>1001</v>
      </c>
      <c r="E65" s="1">
        <v>0.5</v>
      </c>
      <c r="H65" t="str">
        <f t="shared" si="5"/>
        <v>poor</v>
      </c>
      <c r="I65" t="str">
        <f t="shared" ref="I65:I115" si="6">IF(E65&lt;20%,"lowdiscount",IF(E65&lt;41%,"medium discount",IF(E65&gt;=41%,"high discount","cant rate")))</f>
        <v>high discount</v>
      </c>
    </row>
    <row r="66" spans="1:9" x14ac:dyDescent="0.35">
      <c r="A66" t="s">
        <v>104</v>
      </c>
      <c r="B66" s="4">
        <v>1420</v>
      </c>
      <c r="C66" s="4">
        <v>2420</v>
      </c>
      <c r="D66" s="4">
        <f t="shared" ref="D66:D97" si="7">C66-B66</f>
        <v>1000</v>
      </c>
      <c r="E66" s="1">
        <v>0.41</v>
      </c>
      <c r="H66" t="str">
        <f t="shared" si="5"/>
        <v>poor</v>
      </c>
      <c r="I66" t="str">
        <f t="shared" si="6"/>
        <v>high discount</v>
      </c>
    </row>
    <row r="67" spans="1:9" x14ac:dyDescent="0.35">
      <c r="A67" t="s">
        <v>92</v>
      </c>
      <c r="B67" s="4">
        <v>850</v>
      </c>
      <c r="C67" s="4">
        <v>1700</v>
      </c>
      <c r="D67" s="4">
        <f t="shared" si="7"/>
        <v>850</v>
      </c>
      <c r="E67" s="1">
        <v>0.5</v>
      </c>
      <c r="H67" t="str">
        <f t="shared" si="5"/>
        <v>poor</v>
      </c>
      <c r="I67" t="str">
        <f t="shared" si="6"/>
        <v>high discount</v>
      </c>
    </row>
    <row r="68" spans="1:9" x14ac:dyDescent="0.35">
      <c r="A68" t="s">
        <v>84</v>
      </c>
      <c r="B68" s="4">
        <v>1460</v>
      </c>
      <c r="C68" s="4">
        <v>2290</v>
      </c>
      <c r="D68" s="4">
        <f t="shared" si="7"/>
        <v>830</v>
      </c>
      <c r="E68" s="1">
        <v>0.36</v>
      </c>
      <c r="H68" t="str">
        <f t="shared" si="5"/>
        <v>poor</v>
      </c>
      <c r="I68" t="str">
        <f t="shared" si="6"/>
        <v>medium discount</v>
      </c>
    </row>
    <row r="69" spans="1:9" x14ac:dyDescent="0.35">
      <c r="A69" t="s">
        <v>95</v>
      </c>
      <c r="B69" s="4">
        <v>899</v>
      </c>
      <c r="C69" s="4">
        <v>1699</v>
      </c>
      <c r="D69" s="4">
        <f t="shared" si="7"/>
        <v>800</v>
      </c>
      <c r="E69" s="1">
        <v>0.47</v>
      </c>
      <c r="H69" t="str">
        <f t="shared" si="5"/>
        <v>poor</v>
      </c>
      <c r="I69" t="str">
        <f t="shared" si="6"/>
        <v>high discount</v>
      </c>
    </row>
    <row r="70" spans="1:9" x14ac:dyDescent="0.35">
      <c r="A70" t="s">
        <v>95</v>
      </c>
      <c r="B70" s="4">
        <v>899</v>
      </c>
      <c r="C70" s="4">
        <v>1699</v>
      </c>
      <c r="D70" s="4">
        <f t="shared" si="7"/>
        <v>800</v>
      </c>
      <c r="E70" s="1">
        <v>0.47</v>
      </c>
      <c r="H70" t="str">
        <f t="shared" si="5"/>
        <v>poor</v>
      </c>
      <c r="I70" t="str">
        <f t="shared" si="6"/>
        <v>high discount</v>
      </c>
    </row>
    <row r="71" spans="1:9" x14ac:dyDescent="0.35">
      <c r="A71" t="s">
        <v>102</v>
      </c>
      <c r="B71" s="4">
        <v>1080</v>
      </c>
      <c r="C71" s="4">
        <v>1874</v>
      </c>
      <c r="D71" s="4">
        <f t="shared" si="7"/>
        <v>794</v>
      </c>
      <c r="E71" s="1">
        <v>0.42</v>
      </c>
      <c r="H71" t="str">
        <f t="shared" si="5"/>
        <v>poor</v>
      </c>
      <c r="I71" t="str">
        <f t="shared" si="6"/>
        <v>high discount</v>
      </c>
    </row>
    <row r="72" spans="1:9" x14ac:dyDescent="0.35">
      <c r="A72" t="s">
        <v>61</v>
      </c>
      <c r="B72" s="4">
        <v>799</v>
      </c>
      <c r="C72" s="4">
        <v>1567</v>
      </c>
      <c r="D72" s="4">
        <f t="shared" si="7"/>
        <v>768</v>
      </c>
      <c r="E72" s="1">
        <v>0.49</v>
      </c>
      <c r="H72" t="str">
        <f t="shared" si="5"/>
        <v>poor</v>
      </c>
      <c r="I72" t="str">
        <f t="shared" si="6"/>
        <v>high discount</v>
      </c>
    </row>
    <row r="73" spans="1:9" x14ac:dyDescent="0.35">
      <c r="A73" t="s">
        <v>52</v>
      </c>
      <c r="B73" s="4">
        <v>1200</v>
      </c>
      <c r="C73" s="4">
        <v>1950</v>
      </c>
      <c r="D73" s="4">
        <f t="shared" si="7"/>
        <v>750</v>
      </c>
      <c r="E73" s="1">
        <v>0.38</v>
      </c>
      <c r="H73" t="str">
        <f t="shared" si="5"/>
        <v>poor</v>
      </c>
      <c r="I73" t="str">
        <f t="shared" si="6"/>
        <v>medium discount</v>
      </c>
    </row>
    <row r="74" spans="1:9" x14ac:dyDescent="0.35">
      <c r="A74" t="s">
        <v>78</v>
      </c>
      <c r="B74" s="4">
        <v>790</v>
      </c>
      <c r="C74" s="4">
        <v>1485</v>
      </c>
      <c r="D74" s="4">
        <f t="shared" si="7"/>
        <v>695</v>
      </c>
      <c r="E74" s="1">
        <v>0.47</v>
      </c>
      <c r="H74" t="str">
        <f t="shared" si="5"/>
        <v>poor</v>
      </c>
      <c r="I74" t="str">
        <f t="shared" si="6"/>
        <v>high discount</v>
      </c>
    </row>
    <row r="75" spans="1:9" x14ac:dyDescent="0.35">
      <c r="A75" t="s">
        <v>51</v>
      </c>
      <c r="B75" s="4">
        <v>671</v>
      </c>
      <c r="C75" s="4">
        <v>1316</v>
      </c>
      <c r="D75" s="4">
        <f t="shared" si="7"/>
        <v>645</v>
      </c>
      <c r="E75" s="1">
        <v>0.49</v>
      </c>
      <c r="H75" t="str">
        <f t="shared" si="5"/>
        <v>poor</v>
      </c>
      <c r="I75" t="str">
        <f t="shared" si="6"/>
        <v>high discount</v>
      </c>
    </row>
    <row r="76" spans="1:9" x14ac:dyDescent="0.35">
      <c r="A76" t="s">
        <v>60</v>
      </c>
      <c r="B76" s="4">
        <v>699</v>
      </c>
      <c r="C76" s="4">
        <v>1343</v>
      </c>
      <c r="D76" s="4">
        <f t="shared" si="7"/>
        <v>644</v>
      </c>
      <c r="E76" s="1">
        <v>0.48</v>
      </c>
      <c r="H76" t="str">
        <f t="shared" si="5"/>
        <v>poor</v>
      </c>
      <c r="I76" t="str">
        <f t="shared" si="6"/>
        <v>high discount</v>
      </c>
    </row>
    <row r="77" spans="1:9" x14ac:dyDescent="0.35">
      <c r="A77" t="s">
        <v>61</v>
      </c>
      <c r="B77" s="4">
        <v>657</v>
      </c>
      <c r="C77" s="4">
        <v>1288</v>
      </c>
      <c r="D77" s="4">
        <f t="shared" si="7"/>
        <v>631</v>
      </c>
      <c r="E77" s="1">
        <v>0.49</v>
      </c>
      <c r="H77" t="str">
        <f t="shared" si="5"/>
        <v>poor</v>
      </c>
      <c r="I77" t="str">
        <f t="shared" si="6"/>
        <v>high discount</v>
      </c>
    </row>
    <row r="78" spans="1:9" x14ac:dyDescent="0.35">
      <c r="A78" t="s">
        <v>108</v>
      </c>
      <c r="B78" s="4">
        <v>1190</v>
      </c>
      <c r="C78" s="4">
        <v>1810</v>
      </c>
      <c r="D78" s="4">
        <f t="shared" si="7"/>
        <v>620</v>
      </c>
      <c r="E78" s="1">
        <v>0.34</v>
      </c>
      <c r="H78" t="str">
        <f t="shared" si="5"/>
        <v>poor</v>
      </c>
      <c r="I78" t="str">
        <f t="shared" si="6"/>
        <v>medium discount</v>
      </c>
    </row>
    <row r="79" spans="1:9" x14ac:dyDescent="0.35">
      <c r="A79" t="s">
        <v>50</v>
      </c>
      <c r="B79" s="4">
        <v>1190</v>
      </c>
      <c r="C79" s="4">
        <v>1785</v>
      </c>
      <c r="D79" s="4">
        <f t="shared" si="7"/>
        <v>595</v>
      </c>
      <c r="E79" s="1">
        <v>0.33</v>
      </c>
      <c r="H79" t="str">
        <f t="shared" si="5"/>
        <v>poor</v>
      </c>
      <c r="I79" t="str">
        <f t="shared" si="6"/>
        <v>medium discount</v>
      </c>
    </row>
    <row r="80" spans="1:9" x14ac:dyDescent="0.35">
      <c r="A80" t="s">
        <v>107</v>
      </c>
      <c r="B80" s="4">
        <v>1150</v>
      </c>
      <c r="C80" s="4">
        <v>1737</v>
      </c>
      <c r="D80" s="4">
        <f t="shared" si="7"/>
        <v>587</v>
      </c>
      <c r="E80" s="1">
        <v>0.34</v>
      </c>
      <c r="H80" t="str">
        <f t="shared" si="5"/>
        <v>poor</v>
      </c>
      <c r="I80" t="str">
        <f t="shared" si="6"/>
        <v>medium discount</v>
      </c>
    </row>
    <row r="81" spans="1:9" x14ac:dyDescent="0.35">
      <c r="A81" t="s">
        <v>58</v>
      </c>
      <c r="B81" s="4">
        <v>799</v>
      </c>
      <c r="C81" s="4">
        <v>1343</v>
      </c>
      <c r="D81" s="4">
        <f t="shared" si="7"/>
        <v>544</v>
      </c>
      <c r="E81" s="1">
        <v>0.41</v>
      </c>
      <c r="H81" t="str">
        <f t="shared" si="5"/>
        <v>poor</v>
      </c>
      <c r="I81" t="str">
        <f t="shared" si="6"/>
        <v>high discount</v>
      </c>
    </row>
    <row r="82" spans="1:9" x14ac:dyDescent="0.35">
      <c r="A82" t="s">
        <v>79</v>
      </c>
      <c r="B82" s="4">
        <v>690</v>
      </c>
      <c r="C82" s="4">
        <v>1200</v>
      </c>
      <c r="D82" s="4">
        <f t="shared" si="7"/>
        <v>510</v>
      </c>
      <c r="E82" s="1">
        <v>0.43</v>
      </c>
      <c r="H82" t="str">
        <f t="shared" si="5"/>
        <v>poor</v>
      </c>
      <c r="I82" t="str">
        <f t="shared" si="6"/>
        <v>high discount</v>
      </c>
    </row>
    <row r="83" spans="1:9" x14ac:dyDescent="0.35">
      <c r="A83" t="s">
        <v>101</v>
      </c>
      <c r="B83" s="4">
        <v>525</v>
      </c>
      <c r="C83" s="4">
        <v>1029</v>
      </c>
      <c r="D83" s="4">
        <f t="shared" si="7"/>
        <v>504</v>
      </c>
      <c r="E83" s="1">
        <v>0.49</v>
      </c>
      <c r="H83" t="str">
        <f t="shared" si="5"/>
        <v>poor</v>
      </c>
      <c r="I83" t="str">
        <f t="shared" si="6"/>
        <v>high discount</v>
      </c>
    </row>
    <row r="84" spans="1:9" x14ac:dyDescent="0.35">
      <c r="A84" t="s">
        <v>59</v>
      </c>
      <c r="B84" s="4">
        <v>399</v>
      </c>
      <c r="C84" s="4">
        <v>896</v>
      </c>
      <c r="D84" s="4">
        <f t="shared" si="7"/>
        <v>497</v>
      </c>
      <c r="E84" s="1">
        <v>0.55000000000000004</v>
      </c>
      <c r="H84" t="str">
        <f t="shared" si="5"/>
        <v>poor</v>
      </c>
      <c r="I84" t="str">
        <f t="shared" si="6"/>
        <v>high discount</v>
      </c>
    </row>
    <row r="85" spans="1:9" x14ac:dyDescent="0.35">
      <c r="A85" t="s">
        <v>91</v>
      </c>
      <c r="B85" s="4">
        <v>630</v>
      </c>
      <c r="C85" s="4">
        <v>1100</v>
      </c>
      <c r="D85" s="4">
        <f t="shared" si="7"/>
        <v>470</v>
      </c>
      <c r="E85" s="1">
        <v>0.43</v>
      </c>
      <c r="H85" t="str">
        <f t="shared" si="5"/>
        <v>poor</v>
      </c>
      <c r="I85" t="str">
        <f t="shared" si="6"/>
        <v>high discount</v>
      </c>
    </row>
    <row r="86" spans="1:9" x14ac:dyDescent="0.35">
      <c r="A86" t="s">
        <v>45</v>
      </c>
      <c r="B86" s="4">
        <v>475</v>
      </c>
      <c r="C86" s="4">
        <v>931</v>
      </c>
      <c r="D86" s="4">
        <f t="shared" si="7"/>
        <v>456</v>
      </c>
      <c r="E86" s="1">
        <v>0.49</v>
      </c>
      <c r="H86" t="str">
        <f t="shared" si="5"/>
        <v>poor</v>
      </c>
      <c r="I86" t="str">
        <f t="shared" si="6"/>
        <v>high discount</v>
      </c>
    </row>
    <row r="87" spans="1:9" x14ac:dyDescent="0.35">
      <c r="A87" t="s">
        <v>47</v>
      </c>
      <c r="B87" s="4">
        <v>610</v>
      </c>
      <c r="C87" s="4">
        <v>1060</v>
      </c>
      <c r="D87" s="4">
        <f t="shared" si="7"/>
        <v>450</v>
      </c>
      <c r="E87" s="1">
        <v>0.42</v>
      </c>
      <c r="H87" t="str">
        <f t="shared" si="5"/>
        <v>poor</v>
      </c>
      <c r="I87" t="str">
        <f t="shared" si="6"/>
        <v>high discount</v>
      </c>
    </row>
    <row r="88" spans="1:9" x14ac:dyDescent="0.35">
      <c r="A88" t="s">
        <v>47</v>
      </c>
      <c r="B88" s="4">
        <v>610</v>
      </c>
      <c r="C88" s="4">
        <v>1060</v>
      </c>
      <c r="D88" s="4">
        <f t="shared" si="7"/>
        <v>450</v>
      </c>
      <c r="E88" s="1">
        <v>0.42</v>
      </c>
      <c r="H88" t="str">
        <f t="shared" ref="H88:H116" si="8">IF(G88&lt;3,"poor",IF(G88&lt;=4.5,"average",IF(G88&gt;=4.5,"excellent","")))</f>
        <v>poor</v>
      </c>
      <c r="I88" t="str">
        <f t="shared" si="6"/>
        <v>high discount</v>
      </c>
    </row>
    <row r="89" spans="1:9" x14ac:dyDescent="0.35">
      <c r="A89" t="s">
        <v>47</v>
      </c>
      <c r="B89" s="4">
        <v>610</v>
      </c>
      <c r="C89" s="4">
        <v>1060</v>
      </c>
      <c r="D89" s="4">
        <f t="shared" si="7"/>
        <v>450</v>
      </c>
      <c r="E89" s="1">
        <v>0.42</v>
      </c>
      <c r="H89" t="str">
        <f t="shared" si="8"/>
        <v>poor</v>
      </c>
      <c r="I89" t="str">
        <f t="shared" si="6"/>
        <v>high discount</v>
      </c>
    </row>
    <row r="90" spans="1:9" x14ac:dyDescent="0.35">
      <c r="A90" t="s">
        <v>59</v>
      </c>
      <c r="B90" s="4">
        <v>499</v>
      </c>
      <c r="C90" s="4">
        <v>900</v>
      </c>
      <c r="D90" s="4">
        <f t="shared" si="7"/>
        <v>401</v>
      </c>
      <c r="E90" s="1">
        <v>0.45</v>
      </c>
      <c r="H90" t="str">
        <f t="shared" si="8"/>
        <v>poor</v>
      </c>
      <c r="I90" t="str">
        <f t="shared" si="6"/>
        <v>high discount</v>
      </c>
    </row>
    <row r="91" spans="1:9" x14ac:dyDescent="0.35">
      <c r="A91" t="s">
        <v>111</v>
      </c>
      <c r="B91" s="4">
        <v>199</v>
      </c>
      <c r="C91" s="4">
        <v>553</v>
      </c>
      <c r="D91" s="4">
        <f t="shared" si="7"/>
        <v>354</v>
      </c>
      <c r="E91" s="1">
        <v>0.64</v>
      </c>
      <c r="H91" t="str">
        <f t="shared" si="8"/>
        <v>poor</v>
      </c>
      <c r="I91" t="str">
        <f t="shared" si="6"/>
        <v>high discount</v>
      </c>
    </row>
    <row r="92" spans="1:9" x14ac:dyDescent="0.35">
      <c r="A92" t="s">
        <v>53</v>
      </c>
      <c r="B92" s="4">
        <v>199</v>
      </c>
      <c r="C92" s="4">
        <v>504</v>
      </c>
      <c r="D92" s="4">
        <f t="shared" si="7"/>
        <v>305</v>
      </c>
      <c r="E92" s="1">
        <v>0.61</v>
      </c>
      <c r="H92" t="str">
        <f t="shared" si="8"/>
        <v>poor</v>
      </c>
      <c r="I92" t="str">
        <f t="shared" si="6"/>
        <v>high discount</v>
      </c>
    </row>
    <row r="93" spans="1:9" x14ac:dyDescent="0.35">
      <c r="A93" t="s">
        <v>54</v>
      </c>
      <c r="B93" s="4">
        <v>299</v>
      </c>
      <c r="C93" s="4">
        <v>600</v>
      </c>
      <c r="D93" s="4">
        <f t="shared" si="7"/>
        <v>301</v>
      </c>
      <c r="E93" s="1">
        <v>0.5</v>
      </c>
      <c r="H93" t="str">
        <f t="shared" si="8"/>
        <v>poor</v>
      </c>
      <c r="I93" t="str">
        <f t="shared" si="6"/>
        <v>high discount</v>
      </c>
    </row>
    <row r="94" spans="1:9" x14ac:dyDescent="0.35">
      <c r="A94" t="s">
        <v>88</v>
      </c>
      <c r="B94" s="4">
        <v>274</v>
      </c>
      <c r="C94" s="4">
        <v>537</v>
      </c>
      <c r="D94" s="4">
        <f t="shared" si="7"/>
        <v>263</v>
      </c>
      <c r="E94" s="1">
        <v>0.49</v>
      </c>
      <c r="H94" t="str">
        <f t="shared" si="8"/>
        <v>poor</v>
      </c>
      <c r="I94" t="str">
        <f t="shared" si="6"/>
        <v>high discount</v>
      </c>
    </row>
    <row r="95" spans="1:9" x14ac:dyDescent="0.35">
      <c r="A95" t="s">
        <v>46</v>
      </c>
      <c r="B95" s="4">
        <v>238</v>
      </c>
      <c r="C95" s="4">
        <v>476</v>
      </c>
      <c r="D95" s="4">
        <f t="shared" si="7"/>
        <v>238</v>
      </c>
      <c r="E95" s="1">
        <v>0.5</v>
      </c>
      <c r="H95" t="str">
        <f t="shared" si="8"/>
        <v>poor</v>
      </c>
      <c r="I95" t="str">
        <f t="shared" si="6"/>
        <v>high discount</v>
      </c>
    </row>
    <row r="96" spans="1:9" x14ac:dyDescent="0.35">
      <c r="A96" t="s">
        <v>99</v>
      </c>
      <c r="B96" s="4">
        <v>248</v>
      </c>
      <c r="C96" s="4">
        <v>486</v>
      </c>
      <c r="D96" s="4">
        <f t="shared" si="7"/>
        <v>238</v>
      </c>
      <c r="E96" s="1">
        <v>0.49</v>
      </c>
      <c r="H96" t="str">
        <f t="shared" si="8"/>
        <v>poor</v>
      </c>
      <c r="I96" t="str">
        <f t="shared" si="6"/>
        <v>high discount</v>
      </c>
    </row>
    <row r="97" spans="1:9" x14ac:dyDescent="0.35">
      <c r="A97" t="s">
        <v>87</v>
      </c>
      <c r="B97" s="4">
        <v>1466</v>
      </c>
      <c r="C97" s="4">
        <v>1699</v>
      </c>
      <c r="D97" s="4">
        <f t="shared" si="7"/>
        <v>233</v>
      </c>
      <c r="E97" s="1">
        <v>0.14000000000000001</v>
      </c>
      <c r="H97" t="str">
        <f t="shared" si="8"/>
        <v>poor</v>
      </c>
      <c r="I97" t="str">
        <f t="shared" si="6"/>
        <v>lowdiscount</v>
      </c>
    </row>
    <row r="98" spans="1:9" x14ac:dyDescent="0.35">
      <c r="A98" t="s">
        <v>90</v>
      </c>
      <c r="B98" s="4">
        <v>1468</v>
      </c>
      <c r="C98" s="4">
        <v>1699</v>
      </c>
      <c r="D98" s="4">
        <f t="shared" ref="D98:D116" si="9">C98-B98</f>
        <v>231</v>
      </c>
      <c r="E98" s="1">
        <v>0.14000000000000001</v>
      </c>
      <c r="H98" t="str">
        <f t="shared" si="8"/>
        <v>poor</v>
      </c>
      <c r="I98" t="str">
        <f t="shared" si="6"/>
        <v>lowdiscount</v>
      </c>
    </row>
    <row r="99" spans="1:9" x14ac:dyDescent="0.35">
      <c r="A99" t="s">
        <v>81</v>
      </c>
      <c r="B99" s="4">
        <v>230</v>
      </c>
      <c r="C99" s="4">
        <v>450</v>
      </c>
      <c r="D99" s="4">
        <f t="shared" si="9"/>
        <v>220</v>
      </c>
      <c r="E99" s="1">
        <v>0.49</v>
      </c>
      <c r="H99" t="str">
        <f t="shared" si="8"/>
        <v>poor</v>
      </c>
      <c r="I99" t="str">
        <f t="shared" si="6"/>
        <v>high discount</v>
      </c>
    </row>
    <row r="100" spans="1:9" x14ac:dyDescent="0.35">
      <c r="A100" t="s">
        <v>53</v>
      </c>
      <c r="B100" s="4">
        <v>176</v>
      </c>
      <c r="C100" s="4">
        <v>345</v>
      </c>
      <c r="D100" s="4">
        <f t="shared" si="9"/>
        <v>169</v>
      </c>
      <c r="E100" s="1">
        <v>0.49</v>
      </c>
      <c r="H100" t="str">
        <f t="shared" si="8"/>
        <v>poor</v>
      </c>
      <c r="I100" t="str">
        <f t="shared" si="6"/>
        <v>high discount</v>
      </c>
    </row>
    <row r="101" spans="1:9" x14ac:dyDescent="0.35">
      <c r="A101" t="s">
        <v>100</v>
      </c>
      <c r="B101" s="4">
        <v>3546</v>
      </c>
      <c r="C101" s="4">
        <v>3699</v>
      </c>
      <c r="D101" s="4">
        <f t="shared" si="9"/>
        <v>153</v>
      </c>
      <c r="E101" s="1">
        <v>0.04</v>
      </c>
      <c r="H101" t="str">
        <f t="shared" si="8"/>
        <v>poor</v>
      </c>
      <c r="I101" t="str">
        <f t="shared" si="6"/>
        <v>lowdiscount</v>
      </c>
    </row>
    <row r="102" spans="1:9" x14ac:dyDescent="0.35">
      <c r="A102" t="s">
        <v>113</v>
      </c>
      <c r="B102" s="4">
        <v>169</v>
      </c>
      <c r="C102" s="4">
        <v>320</v>
      </c>
      <c r="D102" s="4">
        <f t="shared" si="9"/>
        <v>151</v>
      </c>
      <c r="E102" s="1">
        <v>0.47</v>
      </c>
      <c r="H102" t="str">
        <f t="shared" si="8"/>
        <v>poor</v>
      </c>
      <c r="I102" t="str">
        <f t="shared" si="6"/>
        <v>high discount</v>
      </c>
    </row>
    <row r="103" spans="1:9" x14ac:dyDescent="0.35">
      <c r="A103" t="s">
        <v>97</v>
      </c>
      <c r="B103" s="4">
        <v>1526</v>
      </c>
      <c r="C103" s="4">
        <v>1660</v>
      </c>
      <c r="D103" s="4">
        <f t="shared" si="9"/>
        <v>134</v>
      </c>
      <c r="E103" s="1">
        <v>0.08</v>
      </c>
      <c r="H103" t="str">
        <f t="shared" si="8"/>
        <v>poor</v>
      </c>
      <c r="I103" t="str">
        <f t="shared" si="6"/>
        <v>lowdiscount</v>
      </c>
    </row>
    <row r="104" spans="1:9" x14ac:dyDescent="0.35">
      <c r="A104" t="s">
        <v>89</v>
      </c>
      <c r="B104" s="4">
        <v>799</v>
      </c>
      <c r="C104" s="4">
        <v>900</v>
      </c>
      <c r="D104" s="4">
        <f t="shared" si="9"/>
        <v>101</v>
      </c>
      <c r="E104" s="1">
        <v>0.11</v>
      </c>
      <c r="H104" t="str">
        <f t="shared" si="8"/>
        <v>poor</v>
      </c>
      <c r="I104" t="str">
        <f t="shared" si="6"/>
        <v>lowdiscount</v>
      </c>
    </row>
    <row r="105" spans="1:9" x14ac:dyDescent="0.35">
      <c r="A105" t="s">
        <v>94</v>
      </c>
      <c r="B105" s="4">
        <v>105</v>
      </c>
      <c r="C105" s="4">
        <v>200</v>
      </c>
      <c r="D105" s="4">
        <f t="shared" si="9"/>
        <v>95</v>
      </c>
      <c r="E105" s="1">
        <v>0.48</v>
      </c>
      <c r="H105" t="str">
        <f t="shared" si="8"/>
        <v>poor</v>
      </c>
      <c r="I105" t="str">
        <f t="shared" si="6"/>
        <v>high discount</v>
      </c>
    </row>
    <row r="106" spans="1:9" x14ac:dyDescent="0.35">
      <c r="A106" t="s">
        <v>56</v>
      </c>
      <c r="B106" s="4">
        <v>299</v>
      </c>
      <c r="C106" s="4">
        <v>384</v>
      </c>
      <c r="D106" s="4">
        <f t="shared" si="9"/>
        <v>85</v>
      </c>
      <c r="E106" s="1">
        <v>0.22</v>
      </c>
      <c r="H106" t="str">
        <f t="shared" si="8"/>
        <v>poor</v>
      </c>
      <c r="I106" t="str">
        <f t="shared" si="6"/>
        <v>medium discount</v>
      </c>
    </row>
    <row r="107" spans="1:9" x14ac:dyDescent="0.35">
      <c r="A107" t="s">
        <v>80</v>
      </c>
      <c r="B107" s="4">
        <v>1732</v>
      </c>
      <c r="C107" s="4">
        <v>1799</v>
      </c>
      <c r="D107" s="4">
        <f t="shared" si="9"/>
        <v>67</v>
      </c>
      <c r="E107" s="1">
        <v>0.04</v>
      </c>
      <c r="H107" t="str">
        <f t="shared" si="8"/>
        <v>poor</v>
      </c>
      <c r="I107" t="str">
        <f t="shared" si="6"/>
        <v>lowdiscount</v>
      </c>
    </row>
    <row r="108" spans="1:9" x14ac:dyDescent="0.35">
      <c r="A108" t="s">
        <v>106</v>
      </c>
      <c r="B108" s="4">
        <v>198</v>
      </c>
      <c r="C108" s="4">
        <v>260</v>
      </c>
      <c r="D108" s="4">
        <f t="shared" si="9"/>
        <v>62</v>
      </c>
      <c r="E108" s="1">
        <v>0.24</v>
      </c>
      <c r="H108" t="str">
        <f t="shared" si="8"/>
        <v>poor</v>
      </c>
      <c r="I108" t="str">
        <f t="shared" si="6"/>
        <v>medium discount</v>
      </c>
    </row>
    <row r="109" spans="1:9" x14ac:dyDescent="0.35">
      <c r="A109" t="s">
        <v>109</v>
      </c>
      <c r="B109" s="4">
        <v>1658</v>
      </c>
      <c r="C109" s="4">
        <v>1699</v>
      </c>
      <c r="D109" s="4">
        <f t="shared" si="9"/>
        <v>41</v>
      </c>
      <c r="E109" s="1">
        <v>0.02</v>
      </c>
      <c r="H109" t="str">
        <f t="shared" si="8"/>
        <v>poor</v>
      </c>
      <c r="I109" t="str">
        <f t="shared" si="6"/>
        <v>lowdiscount</v>
      </c>
    </row>
    <row r="110" spans="1:9" x14ac:dyDescent="0.35">
      <c r="A110" t="s">
        <v>57</v>
      </c>
      <c r="B110" s="4">
        <v>1459</v>
      </c>
      <c r="C110" s="4">
        <v>1499</v>
      </c>
      <c r="D110" s="4">
        <f t="shared" si="9"/>
        <v>40</v>
      </c>
      <c r="E110" s="1">
        <v>0.03</v>
      </c>
      <c r="H110" t="str">
        <f t="shared" si="8"/>
        <v>poor</v>
      </c>
      <c r="I110" t="str">
        <f t="shared" si="6"/>
        <v>lowdiscount</v>
      </c>
    </row>
    <row r="111" spans="1:9" x14ac:dyDescent="0.35">
      <c r="A111" t="s">
        <v>55</v>
      </c>
      <c r="B111" s="4">
        <v>1660</v>
      </c>
      <c r="C111" s="4">
        <v>1699</v>
      </c>
      <c r="D111" s="4">
        <f t="shared" si="9"/>
        <v>39</v>
      </c>
      <c r="E111" s="1">
        <v>0.02</v>
      </c>
      <c r="H111" t="str">
        <f t="shared" si="8"/>
        <v>poor</v>
      </c>
      <c r="I111" t="str">
        <f t="shared" si="6"/>
        <v>lowdiscount</v>
      </c>
    </row>
    <row r="112" spans="1:9" x14ac:dyDescent="0.35">
      <c r="A112" t="s">
        <v>48</v>
      </c>
      <c r="B112" s="4">
        <v>2132</v>
      </c>
      <c r="C112" s="4">
        <v>2169</v>
      </c>
      <c r="D112" s="4">
        <f t="shared" si="9"/>
        <v>37</v>
      </c>
      <c r="E112" s="1">
        <v>0.02</v>
      </c>
      <c r="H112" t="str">
        <f t="shared" si="8"/>
        <v>poor</v>
      </c>
      <c r="I112" t="str">
        <f t="shared" si="6"/>
        <v>lowdiscount</v>
      </c>
    </row>
    <row r="113" spans="1:9" x14ac:dyDescent="0.35">
      <c r="A113" t="s">
        <v>98</v>
      </c>
      <c r="B113" s="4">
        <v>1462</v>
      </c>
      <c r="C113" s="4">
        <v>1499</v>
      </c>
      <c r="D113" s="4">
        <f t="shared" si="9"/>
        <v>37</v>
      </c>
      <c r="E113" s="1">
        <v>0.02</v>
      </c>
      <c r="H113" t="str">
        <f t="shared" si="8"/>
        <v>poor</v>
      </c>
      <c r="I113" t="str">
        <f t="shared" si="6"/>
        <v>lowdiscount</v>
      </c>
    </row>
    <row r="114" spans="1:9" x14ac:dyDescent="0.35">
      <c r="A114" t="s">
        <v>85</v>
      </c>
      <c r="B114" s="4">
        <v>1666</v>
      </c>
      <c r="C114" s="4">
        <v>1699</v>
      </c>
      <c r="D114" s="4">
        <f t="shared" si="9"/>
        <v>33</v>
      </c>
      <c r="E114" s="1">
        <v>0.02</v>
      </c>
      <c r="H114" t="str">
        <f t="shared" si="8"/>
        <v>poor</v>
      </c>
      <c r="I114" t="str">
        <f t="shared" si="6"/>
        <v>lowdiscount</v>
      </c>
    </row>
    <row r="115" spans="1:9" x14ac:dyDescent="0.35">
      <c r="A115" t="s">
        <v>110</v>
      </c>
      <c r="B115" s="4">
        <v>1768</v>
      </c>
      <c r="C115" s="4">
        <v>1799</v>
      </c>
      <c r="D115" s="4">
        <f t="shared" si="9"/>
        <v>31</v>
      </c>
      <c r="E115" s="1">
        <v>0.02</v>
      </c>
      <c r="H115" t="str">
        <f t="shared" si="8"/>
        <v>poor</v>
      </c>
      <c r="I115" t="str">
        <f t="shared" si="6"/>
        <v>lowdiscount</v>
      </c>
    </row>
    <row r="116" spans="1:9" x14ac:dyDescent="0.35">
      <c r="A116" t="s">
        <v>105</v>
      </c>
      <c r="B116" s="4">
        <v>1875</v>
      </c>
      <c r="C116" s="4">
        <v>1899</v>
      </c>
      <c r="D116" s="4">
        <f t="shared" si="9"/>
        <v>24</v>
      </c>
      <c r="E116" s="1">
        <v>0.01</v>
      </c>
      <c r="H116" t="str">
        <f t="shared" si="8"/>
        <v>poor</v>
      </c>
    </row>
    <row r="117" spans="1:9" x14ac:dyDescent="0.35">
      <c r="B117" s="3">
        <f>COUNT(B2:B115)</f>
        <v>114</v>
      </c>
      <c r="F117" s="7">
        <f>SUM(F2:F115)</f>
        <v>723</v>
      </c>
    </row>
    <row r="118" spans="1:9" x14ac:dyDescent="0.35">
      <c r="B118" s="3">
        <f t="shared" ref="B118:G118" si="10">AVERAGE(B27:B48)</f>
        <v>1277</v>
      </c>
      <c r="C118" s="3">
        <f t="shared" si="10"/>
        <v>1945.6818181818182</v>
      </c>
      <c r="D118" s="3">
        <f t="shared" si="10"/>
        <v>668.68181818181813</v>
      </c>
      <c r="E118" s="9">
        <f t="shared" si="10"/>
        <v>0.37772727272727269</v>
      </c>
      <c r="F118" s="7">
        <f t="shared" si="10"/>
        <v>13.045454545454545</v>
      </c>
      <c r="G118" s="5">
        <f t="shared" si="10"/>
        <v>3.6727272727272724</v>
      </c>
    </row>
  </sheetData>
  <autoFilter ref="A1:H114" xr:uid="{A6B6FEAD-F1DF-427C-95E2-377A2627E599}">
    <sortState xmlns:xlrd2="http://schemas.microsoft.com/office/spreadsheetml/2017/richdata2" ref="A2:H117">
      <sortCondition descending="1" ref="G1:G114"/>
    </sortState>
  </autoFilter>
  <conditionalFormatting sqref="B1:B1048576">
    <cfRule type="cellIs" dxfId="8" priority="4" operator="equal">
      <formula>38</formula>
    </cfRule>
    <cfRule type="cellIs" dxfId="7" priority="5" operator="equal">
      <formula>38</formula>
    </cfRule>
    <cfRule type="cellIs" dxfId="6" priority="6" operator="equal">
      <formula>3750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BDCC-743D-4420-895A-4FEA536F106D}">
  <dimension ref="A3:B9"/>
  <sheetViews>
    <sheetView workbookViewId="0">
      <selection activeCell="F17" sqref="F17"/>
    </sheetView>
  </sheetViews>
  <sheetFormatPr defaultRowHeight="14.5" x14ac:dyDescent="0.35"/>
  <cols>
    <col min="1" max="1" width="67.08984375" bestFit="1" customWidth="1"/>
    <col min="2" max="2" width="13.54296875" bestFit="1" customWidth="1"/>
    <col min="3" max="4" width="3.36328125" bestFit="1" customWidth="1"/>
    <col min="5" max="5" width="10.7265625" bestFit="1" customWidth="1"/>
  </cols>
  <sheetData>
    <row r="3" spans="1:2" x14ac:dyDescent="0.35">
      <c r="A3" s="10" t="s">
        <v>115</v>
      </c>
      <c r="B3" t="s">
        <v>119</v>
      </c>
    </row>
    <row r="4" spans="1:2" x14ac:dyDescent="0.35">
      <c r="A4" s="12" t="s">
        <v>112</v>
      </c>
      <c r="B4" s="6">
        <v>2</v>
      </c>
    </row>
    <row r="5" spans="1:2" x14ac:dyDescent="0.35">
      <c r="A5" s="12" t="s">
        <v>65</v>
      </c>
      <c r="B5" s="6">
        <v>2.1</v>
      </c>
    </row>
    <row r="6" spans="1:2" x14ac:dyDescent="0.35">
      <c r="A6" s="12" t="s">
        <v>77</v>
      </c>
      <c r="B6" s="6">
        <v>2.1</v>
      </c>
    </row>
    <row r="7" spans="1:2" x14ac:dyDescent="0.35">
      <c r="A7" s="12" t="s">
        <v>69</v>
      </c>
      <c r="B7" s="6">
        <v>2.2000000000000002</v>
      </c>
    </row>
    <row r="8" spans="1:2" x14ac:dyDescent="0.35">
      <c r="A8" s="12" t="s">
        <v>76</v>
      </c>
      <c r="B8" s="6">
        <v>2.2000000000000002</v>
      </c>
    </row>
    <row r="9" spans="1:2" x14ac:dyDescent="0.35">
      <c r="A9" s="12" t="s">
        <v>116</v>
      </c>
      <c r="B9" s="6">
        <v>10.600000000000001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8FF9-A3EF-43FE-992A-4E5AEF318166}">
  <dimension ref="A3:B9"/>
  <sheetViews>
    <sheetView workbookViewId="0">
      <selection activeCell="J17" sqref="J17"/>
    </sheetView>
  </sheetViews>
  <sheetFormatPr defaultRowHeight="14.5" x14ac:dyDescent="0.35"/>
  <cols>
    <col min="1" max="1" width="64.453125" bestFit="1" customWidth="1"/>
    <col min="2" max="2" width="13.54296875" bestFit="1" customWidth="1"/>
  </cols>
  <sheetData>
    <row r="3" spans="1:2" x14ac:dyDescent="0.35">
      <c r="A3" s="10" t="s">
        <v>115</v>
      </c>
      <c r="B3" t="s">
        <v>119</v>
      </c>
    </row>
    <row r="4" spans="1:2" x14ac:dyDescent="0.35">
      <c r="A4" s="12" t="s">
        <v>103</v>
      </c>
      <c r="B4" s="6">
        <v>5</v>
      </c>
    </row>
    <row r="5" spans="1:2" x14ac:dyDescent="0.35">
      <c r="A5" s="12" t="s">
        <v>20</v>
      </c>
      <c r="B5" s="6">
        <v>5</v>
      </c>
    </row>
    <row r="6" spans="1:2" x14ac:dyDescent="0.35">
      <c r="A6" s="12" t="s">
        <v>22</v>
      </c>
      <c r="B6" s="6">
        <v>5</v>
      </c>
    </row>
    <row r="7" spans="1:2" x14ac:dyDescent="0.35">
      <c r="A7" s="12" t="s">
        <v>83</v>
      </c>
      <c r="B7" s="6">
        <v>5</v>
      </c>
    </row>
    <row r="8" spans="1:2" x14ac:dyDescent="0.35">
      <c r="A8" s="12" t="s">
        <v>40</v>
      </c>
      <c r="B8" s="6">
        <v>5</v>
      </c>
    </row>
    <row r="9" spans="1:2" x14ac:dyDescent="0.35">
      <c r="A9" s="12" t="s">
        <v>116</v>
      </c>
      <c r="B9" s="6">
        <v>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5FC0-27D8-40D6-AC1B-C1702C4168BE}">
  <dimension ref="A1:K15"/>
  <sheetViews>
    <sheetView workbookViewId="0">
      <selection activeCell="A14" sqref="A9:I15"/>
    </sheetView>
  </sheetViews>
  <sheetFormatPr defaultRowHeight="14.5" x14ac:dyDescent="0.35"/>
  <cols>
    <col min="1" max="1" width="67.08984375" bestFit="1" customWidth="1"/>
    <col min="2" max="2" width="11.81640625" bestFit="1" customWidth="1"/>
    <col min="3" max="4" width="8" bestFit="1" customWidth="1"/>
    <col min="5" max="5" width="9.6328125" bestFit="1" customWidth="1"/>
    <col min="6" max="6" width="6.7265625" bestFit="1" customWidth="1"/>
    <col min="7" max="7" width="7.1796875" bestFit="1" customWidth="1"/>
    <col min="8" max="8" width="14.7265625" bestFit="1" customWidth="1"/>
    <col min="9" max="9" width="16.54296875" bestFit="1" customWidth="1"/>
  </cols>
  <sheetData>
    <row r="1" spans="1:11" x14ac:dyDescent="0.35">
      <c r="A1" s="2" t="s">
        <v>131</v>
      </c>
    </row>
    <row r="2" spans="1:11" x14ac:dyDescent="0.35">
      <c r="A2" s="2" t="s">
        <v>0</v>
      </c>
      <c r="B2" s="3" t="s">
        <v>1</v>
      </c>
      <c r="C2" s="3" t="s">
        <v>2</v>
      </c>
      <c r="D2" s="3" t="s">
        <v>114</v>
      </c>
      <c r="E2" s="2" t="s">
        <v>120</v>
      </c>
      <c r="F2" s="7" t="s">
        <v>3</v>
      </c>
      <c r="G2" s="5" t="s">
        <v>4</v>
      </c>
      <c r="H2" s="2" t="s">
        <v>125</v>
      </c>
      <c r="I2" s="2" t="s">
        <v>126</v>
      </c>
    </row>
    <row r="3" spans="1:11" x14ac:dyDescent="0.35">
      <c r="A3" t="s">
        <v>112</v>
      </c>
      <c r="B3" s="4">
        <v>450</v>
      </c>
      <c r="C3" s="4">
        <v>900</v>
      </c>
      <c r="D3" s="4">
        <f>C3-B3</f>
        <v>450</v>
      </c>
      <c r="E3" s="1">
        <v>0.5</v>
      </c>
      <c r="F3" s="8">
        <v>1</v>
      </c>
      <c r="G3" s="6">
        <v>2</v>
      </c>
      <c r="H3" t="str">
        <f>IF(G3&lt;3,"poor",IF(G3&lt;=4.5,"average",IF(G3&gt;=4.5,"excellent","")))</f>
        <v>poor</v>
      </c>
      <c r="I3" t="str">
        <f>IF(E3&lt;20%,"lowdiscount",IF(E3&lt;41%,"medium discount",IF(E3&gt;=41%,"high discount","cant rate")))</f>
        <v>high discount</v>
      </c>
    </row>
    <row r="4" spans="1:11" x14ac:dyDescent="0.35">
      <c r="A4" t="s">
        <v>65</v>
      </c>
      <c r="B4" s="4">
        <v>2115</v>
      </c>
      <c r="C4" s="4">
        <v>4700</v>
      </c>
      <c r="D4" s="4">
        <f>C4-B4</f>
        <v>2585</v>
      </c>
      <c r="E4" s="1">
        <v>0.55000000000000004</v>
      </c>
      <c r="F4" s="8">
        <v>13</v>
      </c>
      <c r="G4" s="6">
        <v>2.1</v>
      </c>
      <c r="H4" t="str">
        <f>IF(G4&lt;3,"poor",IF(G4&lt;=4.5,"average",IF(G4&gt;=4.5,"excellent","")))</f>
        <v>poor</v>
      </c>
      <c r="I4" t="str">
        <f t="shared" ref="I4:I7" si="0">IF(E4&lt;20%,"lowdiscount",IF(E4&lt;41%,"medium discount",IF(E4&gt;=41%,"high discount","cant rate")))</f>
        <v>high discount</v>
      </c>
      <c r="K4" s="4"/>
    </row>
    <row r="5" spans="1:11" x14ac:dyDescent="0.35">
      <c r="A5" t="s">
        <v>77</v>
      </c>
      <c r="B5" s="4">
        <v>1570</v>
      </c>
      <c r="C5" s="4">
        <v>2988</v>
      </c>
      <c r="D5" s="4">
        <f>C5-B5</f>
        <v>1418</v>
      </c>
      <c r="E5" s="1">
        <v>0.47</v>
      </c>
      <c r="F5" s="8">
        <v>7</v>
      </c>
      <c r="G5" s="6">
        <v>2.1</v>
      </c>
      <c r="H5" t="str">
        <f>IF(G5&lt;3,"poor",IF(G5&lt;=4.5,"average",IF(G5&gt;=4.5,"excellent","")))</f>
        <v>poor</v>
      </c>
      <c r="I5" t="str">
        <f t="shared" si="0"/>
        <v>high discount</v>
      </c>
    </row>
    <row r="6" spans="1:11" x14ac:dyDescent="0.35">
      <c r="A6" t="s">
        <v>76</v>
      </c>
      <c r="B6" s="4">
        <v>968</v>
      </c>
      <c r="C6" s="4">
        <v>1814</v>
      </c>
      <c r="D6" s="4">
        <f>C6-B6</f>
        <v>846</v>
      </c>
      <c r="E6" s="1">
        <v>0.47</v>
      </c>
      <c r="F6" s="8">
        <v>6</v>
      </c>
      <c r="G6" s="6">
        <v>2.2000000000000002</v>
      </c>
      <c r="H6" t="str">
        <f>IF(G6&lt;3,"poor",IF(G6&lt;=4.5,"average",IF(G6&gt;=4.5,"excellent","")))</f>
        <v>poor</v>
      </c>
      <c r="I6" t="str">
        <f t="shared" si="0"/>
        <v>high discount</v>
      </c>
    </row>
    <row r="7" spans="1:11" x14ac:dyDescent="0.35">
      <c r="A7" t="s">
        <v>69</v>
      </c>
      <c r="B7" s="4">
        <v>990</v>
      </c>
      <c r="C7" s="4">
        <v>1814</v>
      </c>
      <c r="D7" s="4">
        <f>C7-B7</f>
        <v>824</v>
      </c>
      <c r="E7" s="1">
        <v>0.45</v>
      </c>
      <c r="F7" s="8">
        <v>6</v>
      </c>
      <c r="G7" s="6">
        <v>2.2000000000000002</v>
      </c>
      <c r="H7" t="str">
        <f>IF(G7&lt;3,"poor",IF(G7&lt;=4.5,"average",IF(G7&gt;=4.5,"excellent","")))</f>
        <v>poor</v>
      </c>
      <c r="I7" t="str">
        <f t="shared" si="0"/>
        <v>high discount</v>
      </c>
    </row>
    <row r="9" spans="1:11" x14ac:dyDescent="0.35">
      <c r="A9" s="2" t="s">
        <v>132</v>
      </c>
    </row>
    <row r="10" spans="1:11" x14ac:dyDescent="0.35">
      <c r="A10" s="2" t="s">
        <v>0</v>
      </c>
      <c r="B10" s="3" t="s">
        <v>1</v>
      </c>
      <c r="C10" s="3" t="s">
        <v>2</v>
      </c>
      <c r="D10" s="3" t="s">
        <v>114</v>
      </c>
      <c r="E10" s="2" t="s">
        <v>120</v>
      </c>
      <c r="F10" s="7" t="s">
        <v>3</v>
      </c>
      <c r="G10" s="5" t="s">
        <v>4</v>
      </c>
      <c r="H10" s="2" t="s">
        <v>125</v>
      </c>
      <c r="I10" s="2" t="s">
        <v>126</v>
      </c>
    </row>
    <row r="11" spans="1:11" x14ac:dyDescent="0.35">
      <c r="A11" t="s">
        <v>22</v>
      </c>
      <c r="B11" s="4">
        <v>2025</v>
      </c>
      <c r="C11" s="4">
        <v>3971</v>
      </c>
      <c r="D11" s="4">
        <f>C11-B11</f>
        <v>1946</v>
      </c>
      <c r="E11" s="1">
        <v>0.49</v>
      </c>
      <c r="F11" s="8">
        <v>3</v>
      </c>
      <c r="G11" s="6">
        <v>5</v>
      </c>
      <c r="H11" t="str">
        <f>IF(G11&lt;3,"poor",IF(G11&lt;=4.5,"average",IF(G11&gt;=4.5,"excellent","")))</f>
        <v>excellent</v>
      </c>
      <c r="I11" t="str">
        <f>IF(E11&lt;20%,"lowdiscount",IF(E11&lt;41%,"medium discount",IF(E11&gt;=41%,"high discount","cant rate")))</f>
        <v>high discount</v>
      </c>
    </row>
    <row r="12" spans="1:11" x14ac:dyDescent="0.35">
      <c r="A12" t="s">
        <v>40</v>
      </c>
      <c r="B12" s="4">
        <v>1620</v>
      </c>
      <c r="C12" s="4">
        <v>2690</v>
      </c>
      <c r="D12" s="4">
        <f>C12-B12</f>
        <v>1070</v>
      </c>
      <c r="E12" s="1">
        <v>0.4</v>
      </c>
      <c r="F12" s="8">
        <v>1</v>
      </c>
      <c r="G12" s="6">
        <v>5</v>
      </c>
      <c r="H12" t="str">
        <f>IF(G12&lt;3,"poor",IF(G12&lt;=4.5,"average",IF(G12&gt;=4.5,"excellent","")))</f>
        <v>excellent</v>
      </c>
      <c r="I12" t="str">
        <f t="shared" ref="I12:I15" si="1">IF(E12&lt;20%,"lowdiscount",IF(E12&lt;41%,"medium discount",IF(E12&gt;=41%,"high discount","cant rate")))</f>
        <v>medium discount</v>
      </c>
      <c r="K12" s="4"/>
    </row>
    <row r="13" spans="1:11" x14ac:dyDescent="0.35">
      <c r="A13" t="s">
        <v>103</v>
      </c>
      <c r="B13" s="4">
        <v>3640</v>
      </c>
      <c r="C13" s="4">
        <v>4588</v>
      </c>
      <c r="D13" s="4">
        <f>C13-B13</f>
        <v>948</v>
      </c>
      <c r="E13" s="1">
        <v>0.21</v>
      </c>
      <c r="F13" s="8">
        <v>1</v>
      </c>
      <c r="G13" s="6">
        <v>5</v>
      </c>
      <c r="H13" t="str">
        <f>IF(G13&lt;3,"poor",IF(G13&lt;=4.5,"average",IF(G13&gt;=4.5,"excellent","")))</f>
        <v>excellent</v>
      </c>
      <c r="I13" t="str">
        <f t="shared" si="1"/>
        <v>medium discount</v>
      </c>
    </row>
    <row r="14" spans="1:11" x14ac:dyDescent="0.35">
      <c r="A14" t="s">
        <v>83</v>
      </c>
      <c r="B14" s="4">
        <v>979</v>
      </c>
      <c r="C14" s="4">
        <v>1920</v>
      </c>
      <c r="D14" s="4">
        <f>C14-B14</f>
        <v>941</v>
      </c>
      <c r="E14" s="1">
        <v>0.49</v>
      </c>
      <c r="F14" s="8">
        <v>1</v>
      </c>
      <c r="G14" s="6">
        <v>5</v>
      </c>
      <c r="H14" t="str">
        <f>IF(G14&lt;3,"poor",IF(G14&lt;=4.5,"average",IF(G14&gt;=4.5,"excellent","")))</f>
        <v>excellent</v>
      </c>
      <c r="I14" t="str">
        <f t="shared" si="1"/>
        <v>high discount</v>
      </c>
    </row>
    <row r="15" spans="1:11" x14ac:dyDescent="0.35">
      <c r="A15" t="s">
        <v>20</v>
      </c>
      <c r="B15" s="4">
        <v>332</v>
      </c>
      <c r="C15" s="4">
        <v>684</v>
      </c>
      <c r="D15" s="4">
        <f>C15-B15</f>
        <v>352</v>
      </c>
      <c r="E15" s="1">
        <v>0.51</v>
      </c>
      <c r="F15" s="8">
        <v>2</v>
      </c>
      <c r="G15" s="6">
        <v>5</v>
      </c>
      <c r="H15" t="str">
        <f>IF(G15&lt;3,"poor",IF(G15&lt;=4.5,"average",IF(G15&gt;=4.5,"excellent","")))</f>
        <v>excellent</v>
      </c>
      <c r="I15" t="str">
        <f t="shared" si="1"/>
        <v>high discount</v>
      </c>
    </row>
  </sheetData>
  <conditionalFormatting sqref="B2:B7">
    <cfRule type="cellIs" dxfId="5" priority="4" operator="equal">
      <formula>38</formula>
    </cfRule>
    <cfRule type="cellIs" dxfId="4" priority="5" operator="equal">
      <formula>38</formula>
    </cfRule>
    <cfRule type="cellIs" dxfId="3" priority="6" operator="equal">
      <formula>3750</formula>
    </cfRule>
  </conditionalFormatting>
  <conditionalFormatting sqref="B10:B15">
    <cfRule type="cellIs" dxfId="2" priority="1" operator="equal">
      <formula>38</formula>
    </cfRule>
    <cfRule type="cellIs" dxfId="1" priority="2" operator="equal">
      <formula>38</formula>
    </cfRule>
    <cfRule type="cellIs" dxfId="0" priority="3" operator="equal">
      <formula>3750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2B2B-891B-4155-8040-5FB91FD83619}">
  <dimension ref="A1"/>
  <sheetViews>
    <sheetView tabSelected="1" topLeftCell="D1" zoomScale="90" zoomScaleNormal="85" workbookViewId="0">
      <selection activeCell="H3" sqref="H3"/>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3011-36D0-4DC7-8045-8839F9F26EAE}">
  <dimension ref="A1:B12"/>
  <sheetViews>
    <sheetView topLeftCell="A3" workbookViewId="0">
      <selection activeCell="B1" sqref="B1"/>
    </sheetView>
  </sheetViews>
  <sheetFormatPr defaultRowHeight="14.5" x14ac:dyDescent="0.35"/>
  <cols>
    <col min="1" max="1" width="64.453125" bestFit="1" customWidth="1"/>
    <col min="2" max="2" width="13.54296875" bestFit="1" customWidth="1"/>
  </cols>
  <sheetData>
    <row r="1" spans="1:2" x14ac:dyDescent="0.35">
      <c r="A1" s="10" t="s">
        <v>115</v>
      </c>
      <c r="B1" t="s">
        <v>119</v>
      </c>
    </row>
    <row r="2" spans="1:2" x14ac:dyDescent="0.35">
      <c r="A2" s="12" t="s">
        <v>41</v>
      </c>
      <c r="B2" s="6">
        <v>5</v>
      </c>
    </row>
    <row r="3" spans="1:2" x14ac:dyDescent="0.35">
      <c r="A3" s="12" t="s">
        <v>22</v>
      </c>
      <c r="B3" s="6">
        <v>5</v>
      </c>
    </row>
    <row r="4" spans="1:2" x14ac:dyDescent="0.35">
      <c r="A4" s="12" t="s">
        <v>103</v>
      </c>
      <c r="B4" s="6">
        <v>5</v>
      </c>
    </row>
    <row r="5" spans="1:2" x14ac:dyDescent="0.35">
      <c r="A5" s="12" t="s">
        <v>20</v>
      </c>
      <c r="B5" s="6">
        <v>5</v>
      </c>
    </row>
    <row r="6" spans="1:2" x14ac:dyDescent="0.35">
      <c r="A6" s="12" t="s">
        <v>21</v>
      </c>
      <c r="B6" s="6">
        <v>5</v>
      </c>
    </row>
    <row r="7" spans="1:2" x14ac:dyDescent="0.35">
      <c r="A7" s="12" t="s">
        <v>83</v>
      </c>
      <c r="B7" s="6">
        <v>5</v>
      </c>
    </row>
    <row r="8" spans="1:2" x14ac:dyDescent="0.35">
      <c r="A8" s="12" t="s">
        <v>40</v>
      </c>
      <c r="B8" s="6">
        <v>5</v>
      </c>
    </row>
    <row r="9" spans="1:2" x14ac:dyDescent="0.35">
      <c r="A9" s="12" t="s">
        <v>13</v>
      </c>
      <c r="B9" s="6">
        <v>4.8</v>
      </c>
    </row>
    <row r="10" spans="1:2" x14ac:dyDescent="0.35">
      <c r="A10" s="12" t="s">
        <v>9</v>
      </c>
      <c r="B10" s="6">
        <v>4.8</v>
      </c>
    </row>
    <row r="11" spans="1:2" x14ac:dyDescent="0.35">
      <c r="A11" s="12" t="s">
        <v>17</v>
      </c>
      <c r="B11" s="6">
        <v>4.8</v>
      </c>
    </row>
    <row r="12" spans="1:2" x14ac:dyDescent="0.35">
      <c r="A12" s="12" t="s">
        <v>116</v>
      </c>
      <c r="B12" s="6">
        <v>49.399999999999991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A339-082C-41C4-86DB-B629E4F17742}">
  <dimension ref="A3:B14"/>
  <sheetViews>
    <sheetView workbookViewId="0">
      <selection activeCell="D3" sqref="D3"/>
    </sheetView>
  </sheetViews>
  <sheetFormatPr defaultRowHeight="14.5" x14ac:dyDescent="0.35"/>
  <cols>
    <col min="1" max="1" width="61.453125" bestFit="1" customWidth="1"/>
    <col min="2" max="2" width="13.08984375" bestFit="1" customWidth="1"/>
  </cols>
  <sheetData>
    <row r="3" spans="1:2" x14ac:dyDescent="0.35">
      <c r="A3" s="10" t="s">
        <v>115</v>
      </c>
      <c r="B3" t="s">
        <v>117</v>
      </c>
    </row>
    <row r="4" spans="1:2" x14ac:dyDescent="0.35">
      <c r="A4" s="12" t="s">
        <v>66</v>
      </c>
      <c r="B4" s="8">
        <v>69</v>
      </c>
    </row>
    <row r="5" spans="1:2" x14ac:dyDescent="0.35">
      <c r="A5" s="12" t="s">
        <v>11</v>
      </c>
      <c r="B5" s="8">
        <v>55</v>
      </c>
    </row>
    <row r="6" spans="1:2" x14ac:dyDescent="0.35">
      <c r="A6" s="12" t="s">
        <v>30</v>
      </c>
      <c r="B6" s="8">
        <v>49</v>
      </c>
    </row>
    <row r="7" spans="1:2" x14ac:dyDescent="0.35">
      <c r="A7" s="12" t="s">
        <v>24</v>
      </c>
      <c r="B7" s="8">
        <v>44</v>
      </c>
    </row>
    <row r="8" spans="1:2" x14ac:dyDescent="0.35">
      <c r="A8" s="12" t="s">
        <v>16</v>
      </c>
      <c r="B8" s="8">
        <v>39</v>
      </c>
    </row>
    <row r="9" spans="1:2" x14ac:dyDescent="0.35">
      <c r="A9" s="12" t="s">
        <v>42</v>
      </c>
      <c r="B9" s="8">
        <v>36</v>
      </c>
    </row>
    <row r="10" spans="1:2" x14ac:dyDescent="0.35">
      <c r="A10" s="12" t="s">
        <v>39</v>
      </c>
      <c r="B10" s="8">
        <v>32</v>
      </c>
    </row>
    <row r="11" spans="1:2" x14ac:dyDescent="0.35">
      <c r="A11" s="12" t="s">
        <v>7</v>
      </c>
      <c r="B11" s="8">
        <v>24</v>
      </c>
    </row>
    <row r="12" spans="1:2" x14ac:dyDescent="0.35">
      <c r="A12" s="12" t="s">
        <v>38</v>
      </c>
      <c r="B12" s="8">
        <v>20</v>
      </c>
    </row>
    <row r="13" spans="1:2" x14ac:dyDescent="0.35">
      <c r="A13" s="12" t="s">
        <v>33</v>
      </c>
      <c r="B13" s="8">
        <v>20</v>
      </c>
    </row>
    <row r="14" spans="1:2" x14ac:dyDescent="0.35">
      <c r="A14" s="12" t="s">
        <v>116</v>
      </c>
      <c r="B14" s="8">
        <v>388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1E1F-C07D-4EDB-B053-23AB0D242BA5}">
  <dimension ref="A3:B14"/>
  <sheetViews>
    <sheetView workbookViewId="0">
      <selection activeCell="D20" sqref="D20"/>
    </sheetView>
  </sheetViews>
  <sheetFormatPr defaultRowHeight="14.5" x14ac:dyDescent="0.35"/>
  <cols>
    <col min="1" max="1" width="67.08984375" bestFit="1" customWidth="1"/>
    <col min="2" max="2" width="14.36328125" bestFit="1" customWidth="1"/>
  </cols>
  <sheetData>
    <row r="3" spans="1:2" x14ac:dyDescent="0.35">
      <c r="A3" s="10" t="s">
        <v>115</v>
      </c>
      <c r="B3" t="s">
        <v>118</v>
      </c>
    </row>
    <row r="4" spans="1:2" x14ac:dyDescent="0.35">
      <c r="A4" s="12" t="s">
        <v>65</v>
      </c>
      <c r="B4" s="4">
        <v>2585</v>
      </c>
    </row>
    <row r="5" spans="1:2" x14ac:dyDescent="0.35">
      <c r="A5" s="12" t="s">
        <v>29</v>
      </c>
      <c r="B5" s="4">
        <v>2452</v>
      </c>
    </row>
    <row r="6" spans="1:2" x14ac:dyDescent="0.35">
      <c r="A6" s="12" t="s">
        <v>71</v>
      </c>
      <c r="B6" s="4">
        <v>2393</v>
      </c>
    </row>
    <row r="7" spans="1:2" x14ac:dyDescent="0.35">
      <c r="A7" s="12" t="s">
        <v>22</v>
      </c>
      <c r="B7" s="4">
        <v>1946</v>
      </c>
    </row>
    <row r="8" spans="1:2" x14ac:dyDescent="0.35">
      <c r="A8" s="12" t="s">
        <v>34</v>
      </c>
      <c r="B8" s="4">
        <v>1880</v>
      </c>
    </row>
    <row r="9" spans="1:2" x14ac:dyDescent="0.35">
      <c r="A9" s="12" t="s">
        <v>44</v>
      </c>
      <c r="B9" s="4">
        <v>1721</v>
      </c>
    </row>
    <row r="10" spans="1:2" x14ac:dyDescent="0.35">
      <c r="A10" s="12" t="s">
        <v>37</v>
      </c>
      <c r="B10" s="4">
        <v>1670</v>
      </c>
    </row>
    <row r="11" spans="1:2" x14ac:dyDescent="0.35">
      <c r="A11" s="12" t="s">
        <v>13</v>
      </c>
      <c r="B11" s="4">
        <v>1526</v>
      </c>
    </row>
    <row r="12" spans="1:2" x14ac:dyDescent="0.35">
      <c r="A12" s="12" t="s">
        <v>77</v>
      </c>
      <c r="B12" s="4">
        <v>1418</v>
      </c>
    </row>
    <row r="13" spans="1:2" x14ac:dyDescent="0.35">
      <c r="A13" s="12" t="s">
        <v>26</v>
      </c>
      <c r="B13" s="4">
        <v>1360</v>
      </c>
    </row>
    <row r="14" spans="1:2" x14ac:dyDescent="0.35">
      <c r="A14" s="12" t="s">
        <v>116</v>
      </c>
      <c r="B14" s="4">
        <v>18951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reviews as per % discouint</vt:lpstr>
      <vt:lpstr>review per product rating</vt:lpstr>
      <vt:lpstr>products by ratings category</vt:lpstr>
      <vt:lpstr>product by discount category</vt:lpstr>
      <vt:lpstr>discounts vs avg ratings</vt:lpstr>
      <vt:lpstr>discounts vs Review numbers</vt:lpstr>
      <vt:lpstr>Excel_jumia_dataset</vt:lpstr>
      <vt:lpstr>top 5 lowest rated products</vt:lpstr>
      <vt:lpstr>top 5 highest rated products</vt:lpstr>
      <vt:lpstr>top 5s</vt:lpstr>
      <vt:lpstr>Dashboard</vt:lpstr>
      <vt:lpstr>highest ratings(Top 10)</vt:lpstr>
      <vt:lpstr>highest reviews(Top 10)</vt:lpstr>
      <vt:lpstr>highest discounts(TOP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Rapid Lashes</dc:creator>
  <cp:lastModifiedBy>Rapid Lashes</cp:lastModifiedBy>
  <dcterms:created xsi:type="dcterms:W3CDTF">2026-06-09T07:05:44Z</dcterms:created>
  <dcterms:modified xsi:type="dcterms:W3CDTF">2026-06-12T11:55:56Z</dcterms:modified>
</cp:coreProperties>
</file>